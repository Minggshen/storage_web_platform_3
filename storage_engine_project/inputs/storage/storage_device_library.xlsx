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QU\Desktop\storage20260401\inputs\storage\"/>
    </mc:Choice>
  </mc:AlternateContent>
  <xr:revisionPtr revIDLastSave="0" documentId="8_{9C3C7818-F709-4BF8-8583-8170E1E7F334}" xr6:coauthVersionLast="47" xr6:coauthVersionMax="47" xr10:uidLastSave="{00000000-0000-0000-0000-000000000000}"/>
  <bookViews>
    <workbookView xWindow="17040" yWindow="130" windowWidth="21290" windowHeight="20810" xr2:uid="{00000000-000D-0000-FFFF-FFFF00000000}"/>
  </bookViews>
  <sheets>
    <sheet name="储能策略与设备库" sheetId="1" r:id="rId1"/>
    <sheet name="EMS控制包库" sheetId="2" r:id="rId2"/>
    <sheet name="字段说明与价格推导" sheetId="3" r:id="rId3"/>
    <sheet name="手册依据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8" i="1" l="1"/>
  <c r="AV28" i="1"/>
  <c r="AU28" i="1"/>
  <c r="AT28" i="1"/>
  <c r="AS28" i="1"/>
  <c r="AR28" i="1"/>
  <c r="AQ28" i="1"/>
  <c r="AX28" i="1" s="1"/>
  <c r="AW27" i="1"/>
  <c r="AV27" i="1"/>
  <c r="AU27" i="1"/>
  <c r="AT27" i="1"/>
  <c r="AS27" i="1"/>
  <c r="AR27" i="1"/>
  <c r="AQ27" i="1"/>
  <c r="AX27" i="1" s="1"/>
  <c r="AW26" i="1"/>
  <c r="AV26" i="1"/>
  <c r="AU26" i="1"/>
  <c r="AT26" i="1"/>
  <c r="AS26" i="1"/>
  <c r="AR26" i="1"/>
  <c r="AQ26" i="1"/>
  <c r="AX26" i="1" s="1"/>
  <c r="AW25" i="1"/>
  <c r="AV25" i="1"/>
  <c r="AU25" i="1"/>
  <c r="AT25" i="1"/>
  <c r="AS25" i="1"/>
  <c r="AR25" i="1"/>
  <c r="AQ25" i="1"/>
  <c r="AX25" i="1" s="1"/>
  <c r="AW24" i="1"/>
  <c r="AV24" i="1"/>
  <c r="AU24" i="1"/>
  <c r="AT24" i="1"/>
  <c r="AS24" i="1"/>
  <c r="AR24" i="1"/>
  <c r="AQ24" i="1"/>
  <c r="AX24" i="1" s="1"/>
  <c r="AW23" i="1"/>
  <c r="AV23" i="1"/>
  <c r="AU23" i="1"/>
  <c r="AT23" i="1"/>
  <c r="AS23" i="1"/>
  <c r="AR23" i="1"/>
  <c r="AQ23" i="1"/>
  <c r="AX23" i="1" s="1"/>
  <c r="AW22" i="1"/>
  <c r="AV22" i="1"/>
  <c r="AU22" i="1"/>
  <c r="AT22" i="1"/>
  <c r="AS22" i="1"/>
  <c r="AR22" i="1"/>
  <c r="AQ22" i="1"/>
  <c r="AX22" i="1" s="1"/>
  <c r="AW21" i="1"/>
  <c r="AV21" i="1"/>
  <c r="AU21" i="1"/>
  <c r="AT21" i="1"/>
  <c r="AS21" i="1"/>
  <c r="AR21" i="1"/>
  <c r="AQ21" i="1"/>
  <c r="AX21" i="1" s="1"/>
  <c r="AW20" i="1"/>
  <c r="AV20" i="1"/>
  <c r="AU20" i="1"/>
  <c r="AT20" i="1"/>
  <c r="AS20" i="1"/>
  <c r="AR20" i="1"/>
  <c r="AQ20" i="1"/>
  <c r="AX20" i="1" s="1"/>
  <c r="AW19" i="1"/>
  <c r="AV19" i="1"/>
  <c r="AU19" i="1"/>
  <c r="AT19" i="1"/>
  <c r="AS19" i="1"/>
  <c r="AR19" i="1"/>
  <c r="AQ19" i="1"/>
  <c r="AX19" i="1" s="1"/>
  <c r="AW18" i="1"/>
  <c r="AV18" i="1"/>
  <c r="AU18" i="1"/>
  <c r="AT18" i="1"/>
  <c r="AS18" i="1"/>
  <c r="AR18" i="1"/>
  <c r="AQ18" i="1"/>
  <c r="AX18" i="1" s="1"/>
  <c r="AW17" i="1"/>
  <c r="AV17" i="1"/>
  <c r="AU17" i="1"/>
  <c r="AT17" i="1"/>
  <c r="AS17" i="1"/>
  <c r="AR17" i="1"/>
  <c r="AQ17" i="1"/>
  <c r="AX17" i="1" s="1"/>
  <c r="AW16" i="1"/>
  <c r="AV16" i="1"/>
  <c r="AU16" i="1"/>
  <c r="AT16" i="1"/>
  <c r="AS16" i="1"/>
  <c r="AR16" i="1"/>
  <c r="AQ16" i="1"/>
  <c r="AX16" i="1" s="1"/>
  <c r="AW15" i="1"/>
  <c r="AV15" i="1"/>
  <c r="AU15" i="1"/>
  <c r="AT15" i="1"/>
  <c r="AS15" i="1"/>
  <c r="AR15" i="1"/>
  <c r="AQ15" i="1"/>
  <c r="AX15" i="1" s="1"/>
  <c r="AW14" i="1"/>
  <c r="AV14" i="1"/>
  <c r="AU14" i="1"/>
  <c r="AT14" i="1"/>
  <c r="AS14" i="1"/>
  <c r="AR14" i="1"/>
  <c r="AQ14" i="1"/>
  <c r="AX14" i="1" s="1"/>
  <c r="B8" i="1"/>
  <c r="B7" i="1"/>
  <c r="B6" i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中文含义：启用
程序字段名：enabled</t>
        </r>
      </text>
    </comment>
    <comment ref="B1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中文含义：厂商
程序字段名：manufacturer</t>
        </r>
      </text>
    </comment>
    <comment ref="C1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中文含义：系列名
程序字段名：series_name</t>
        </r>
      </text>
    </comment>
    <comment ref="D1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中文含义：设备型号
程序字段名：device_model</t>
        </r>
      </text>
    </comment>
    <comment ref="E1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中文含义：设备类别
程序字段名：device_family</t>
        </r>
      </text>
    </comment>
    <comment ref="F1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中文含义：系统拓扑类型
程序字段名：system_topology_type</t>
        </r>
      </text>
    </comment>
    <comment ref="G1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中文含义：适用场景
程序字段名：application_scene</t>
        </r>
      </text>
    </comment>
    <comment ref="H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中文含义：工商业适配等级
程序字段名：cni_fit_level</t>
        </r>
      </text>
    </comment>
    <comment ref="I1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中文含义：默认候选
程序字段名：is_default_candidate</t>
        </r>
      </text>
    </comment>
    <comment ref="J1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中文含义：EMS控制包
程序字段名：ems_package_name</t>
        </r>
      </text>
    </comment>
    <comment ref="K1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中文含义：内置EMS
程序字段名：has_builtin_ems</t>
        </r>
      </text>
    </comment>
    <comment ref="L1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中文含义：需外置PCS
程序字段名：requires_external_pcs</t>
        </r>
      </text>
    </comment>
    <comment ref="M1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中文含义：支持黑启动
程序字段名：supports_black_start</t>
        </r>
      </text>
    </comment>
    <comment ref="N1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中文含义：支持离网/微网
程序字段名：supports_offgrid_microgrid</t>
        </r>
      </text>
    </comment>
    <comment ref="O1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中文含义：电池体系
程序字段名：battery_chemistry</t>
        </r>
      </text>
    </comment>
    <comment ref="P1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中文含义：额定功率(kW)
程序字段名：rated_power_kw</t>
        </r>
      </text>
    </comment>
    <comment ref="Q1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中文含义：额定容量(kWh)
程序字段名：rated_energy_kwh</t>
        </r>
      </text>
    </comment>
    <comment ref="R1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中文含义：可用能量@FAT(kWh)
程序字段名：usable_energy_kwh_at_fat</t>
        </r>
      </text>
    </comment>
    <comment ref="S1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中文含义：时长(h)
程序字段名：duration_h</t>
        </r>
      </text>
    </comment>
    <comment ref="T1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中文含义：直流电压范围(V)
程序字段名：dc_voltage_range_v</t>
        </r>
      </text>
    </comment>
    <comment ref="U1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中文含义：交流侧电压(V)
程序字段名：ac_grid_voltage_v</t>
        </r>
      </text>
    </comment>
    <comment ref="V1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中文含义：电池配置
程序字段名：battery_config</t>
        </r>
      </text>
    </comment>
    <comment ref="W12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中文含义：冷却方式
程序字段名：cooling_type</t>
        </r>
      </text>
    </comment>
    <comment ref="X12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中文含义：探测方式
程序字段名：fire_detection</t>
        </r>
      </text>
    </comment>
    <comment ref="Y12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中文含义：灭火方式
程序字段名：fire_suppression</t>
        </r>
      </text>
    </comment>
    <comment ref="Z12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中文含义：备用/水消防
程序字段名：backup_system</t>
        </r>
      </text>
    </comment>
    <comment ref="AA12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中文含义：事故通风
程序字段名：accident_ventilation</t>
        </r>
      </text>
    </comment>
    <comment ref="AB1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中文含义：PACK级消防
程序字段名：pack_level_firefighting_optional</t>
        </r>
      </text>
    </comment>
    <comment ref="AC1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中文含义：泄爆/防爆
程序字段名：explosion_relief_optional</t>
        </r>
      </text>
    </comment>
    <comment ref="AD12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中文含义：需MSD
程序字段名：msd_required</t>
        </r>
      </text>
    </comment>
    <comment ref="AE1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中文含义：通讯协议
程序字段名：communication_protocol</t>
        </r>
      </text>
    </comment>
    <comment ref="AF1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中文含义：安全等级
程序字段名：manual_safety_grade</t>
        </r>
      </text>
    </comment>
    <comment ref="AG1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中文含义：安全与运维说明
程序字段名：manual_safety_notes</t>
        </r>
      </text>
    </comment>
    <comment ref="AH1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中文含义：效率/系统效率
程序字段名：efficiency_pct</t>
        </r>
      </text>
    </comment>
    <comment ref="AI1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中文含义：防护等级
程序字段名：ip_system</t>
        </r>
      </text>
    </comment>
    <comment ref="AJ1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中文含义：防腐/盐雾等级
程序字段名：corrosion_grade</t>
        </r>
      </text>
    </comment>
    <comment ref="AK1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中文含义：安装方式
程序字段名：install_mode</t>
        </r>
      </text>
    </comment>
    <comment ref="AL1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中文含义：辅助供电接口
程序字段名：aux_power_interface</t>
        </r>
      </text>
    </comment>
    <comment ref="AM12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中文含义：宽(mm)
程序字段名：dimension_w_mm</t>
        </r>
      </text>
    </comment>
    <comment ref="AN12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中文含义：深(mm)
程序字段名：dimension_d_mm</t>
        </r>
      </text>
    </comment>
    <comment ref="AO12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中文含义：高(mm)
程序字段名：dimension_h_mm</t>
        </r>
      </text>
    </comment>
    <comment ref="AP12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中文含义：重量(kg)
程序字段名：weight_kg</t>
        </r>
      </text>
    </comment>
    <comment ref="AQ12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容量侧单价：按系统拓扑、安全等级、集成度、事故通风/消防配置等推导。</t>
        </r>
      </text>
    </comment>
    <comment ref="AR12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功率侧单价：按系统拓扑和安全等级推导，对外置PCS方案做了折减。</t>
        </r>
      </text>
    </comment>
    <comment ref="AS12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站集成与安装调试占设备本体投资的比例估算。</t>
        </r>
      </text>
    </comment>
    <comment ref="AT12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消防附加占设备本体投资的比例估算。</t>
        </r>
      </text>
    </comment>
    <comment ref="AU12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中文含义：年保险率
程序字段名：annual_insurance_rate_on_capex</t>
        </r>
      </text>
    </comment>
    <comment ref="AV12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中文含义：年安全维护率
程序字段名：annual_safety_maintenance_rate_on_capex</t>
        </r>
      </text>
    </comment>
    <comment ref="AW12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中文含义：年消防巡检率
程序字段名：annual_fire_system_inspection_rate_on_capex</t>
        </r>
      </text>
    </comment>
    <comment ref="AX12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中文含义：价格状态
程序字段名：price_status</t>
        </r>
      </text>
    </comment>
    <comment ref="AY12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中文含义：价格依据
程序字段名：quote_source</t>
        </r>
      </text>
    </comment>
    <comment ref="AZ12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中文含义：依据资料
程序字段名：source_files</t>
        </r>
      </text>
    </comment>
  </commentList>
</comments>
</file>

<file path=xl/sharedStrings.xml><?xml version="1.0" encoding="utf-8"?>
<sst xmlns="http://schemas.openxmlformats.org/spreadsheetml/2006/main" count="702" uniqueCount="405">
  <si>
    <t>工商业储能设备策略库</t>
  </si>
  <si>
    <t>控制开关</t>
  </si>
  <si>
    <t>使用说明</t>
  </si>
  <si>
    <t>优化偏好模式</t>
  </si>
  <si>
    <t>OpenDSS 文件、注册表、分时电价表保持不变；本表专门用于“设备选型 + 价格输入 + 偏好模式”。</t>
  </si>
  <si>
    <t>模式说明</t>
  </si>
  <si>
    <t>价格字段采用工程估算：按系统拓扑、安全等级、集成度以及事故通风/消防配置进行推导，仅用于前期方案比选。</t>
  </si>
  <si>
    <t>经济权重</t>
  </si>
  <si>
    <t>可读性处理：第12行为英文字段名，第13行为中文标注；后续程序读取建议以第12行为表头，并跳过第13行。</t>
  </si>
  <si>
    <t>安全权重</t>
  </si>
  <si>
    <t>若拿到正式报价，只需直接覆盖容量侧单价、功率侧单价以及三项年费率字段。</t>
  </si>
  <si>
    <t>最低安全分门槛</t>
  </si>
  <si>
    <t>默认候选=1 的设备优先进入工商业方案搜索池；默认候选=0 的设备用于扩展场景。</t>
  </si>
  <si>
    <t>默认EMS控制包</t>
  </si>
  <si>
    <t>EMS300CP_标准安全包</t>
  </si>
  <si>
    <t>enabled</t>
  </si>
  <si>
    <t>manufacturer</t>
  </si>
  <si>
    <t>series_name</t>
  </si>
  <si>
    <t>device_model</t>
  </si>
  <si>
    <t>device_family</t>
  </si>
  <si>
    <t>system_topology_type</t>
  </si>
  <si>
    <t>application_scene</t>
  </si>
  <si>
    <t>cni_fit_level</t>
  </si>
  <si>
    <t>is_default_candidate</t>
  </si>
  <si>
    <t>ems_package_name</t>
  </si>
  <si>
    <t>has_builtin_ems</t>
  </si>
  <si>
    <t>requires_external_pcs</t>
  </si>
  <si>
    <t>supports_black_start</t>
  </si>
  <si>
    <t>supports_offgrid_microgrid</t>
  </si>
  <si>
    <t>battery_chemistry</t>
  </si>
  <si>
    <t>rated_power_kw</t>
  </si>
  <si>
    <t>rated_energy_kwh</t>
  </si>
  <si>
    <t>usable_energy_kwh_at_fat</t>
  </si>
  <si>
    <t>duration_h</t>
  </si>
  <si>
    <t>dc_voltage_range_v</t>
  </si>
  <si>
    <t>ac_grid_voltage_v</t>
  </si>
  <si>
    <t>battery_config</t>
  </si>
  <si>
    <t>cooling_type</t>
  </si>
  <si>
    <t>fire_detection</t>
  </si>
  <si>
    <t>fire_suppression</t>
  </si>
  <si>
    <t>backup_system</t>
  </si>
  <si>
    <t>accident_ventilation</t>
  </si>
  <si>
    <t>pack_level_firefighting_optional</t>
  </si>
  <si>
    <t>explosion_relief_optional</t>
  </si>
  <si>
    <t>msd_required</t>
  </si>
  <si>
    <t>communication_protocol</t>
  </si>
  <si>
    <t>manual_safety_grade</t>
  </si>
  <si>
    <t>manual_safety_notes</t>
  </si>
  <si>
    <t>efficiency_pct</t>
  </si>
  <si>
    <t>ip_system</t>
  </si>
  <si>
    <t>corrosion_grade</t>
  </si>
  <si>
    <t>install_mode</t>
  </si>
  <si>
    <t>aux_power_interface</t>
  </si>
  <si>
    <t>dimension_w_mm</t>
  </si>
  <si>
    <t>dimension_d_mm</t>
  </si>
  <si>
    <t>dimension_h_mm</t>
  </si>
  <si>
    <t>weight_kg</t>
  </si>
  <si>
    <t>energy_unit_price_yuan_per_kwh</t>
  </si>
  <si>
    <t>power_related_capex_yuan_per_kw</t>
  </si>
  <si>
    <t>station_integration_capex_ratio</t>
  </si>
  <si>
    <t>fire_protection_capex_ratio</t>
  </si>
  <si>
    <t>annual_insurance_rate_on_capex</t>
  </si>
  <si>
    <t>annual_safety_maintenance_rate_on_capex</t>
  </si>
  <si>
    <t>annual_fire_system_inspection_rate_on_capex</t>
  </si>
  <si>
    <t>price_status</t>
  </si>
  <si>
    <t>quote_source</t>
  </si>
  <si>
    <t>source_files</t>
  </si>
  <si>
    <t>启用</t>
  </si>
  <si>
    <t>厂商</t>
  </si>
  <si>
    <t>系列名</t>
  </si>
  <si>
    <t>设备型号</t>
  </si>
  <si>
    <t>设备类别</t>
  </si>
  <si>
    <t>系统拓扑类型</t>
  </si>
  <si>
    <t>适用场景</t>
  </si>
  <si>
    <t>工商业适配等级</t>
  </si>
  <si>
    <t>默认候选</t>
  </si>
  <si>
    <t>EMS控制包</t>
  </si>
  <si>
    <t>内置EMS</t>
  </si>
  <si>
    <t>需外置PCS</t>
  </si>
  <si>
    <t>支持黑启动</t>
  </si>
  <si>
    <t>支持离网/微网</t>
  </si>
  <si>
    <t>电池体系</t>
  </si>
  <si>
    <t>额定功率(kW)</t>
  </si>
  <si>
    <t>额定容量(kWh)</t>
  </si>
  <si>
    <t>可用能量@FAT(kWh)</t>
  </si>
  <si>
    <t>时长(h)</t>
  </si>
  <si>
    <t>直流电压范围(V)</t>
  </si>
  <si>
    <t>交流侧电压(V)</t>
  </si>
  <si>
    <t>电池配置</t>
  </si>
  <si>
    <t>冷却方式</t>
  </si>
  <si>
    <t>探测方式</t>
  </si>
  <si>
    <t>灭火方式</t>
  </si>
  <si>
    <t>备用/水消防</t>
  </si>
  <si>
    <t>事故通风</t>
  </si>
  <si>
    <t>PACK级消防</t>
  </si>
  <si>
    <t>泄爆/防爆</t>
  </si>
  <si>
    <t>需MSD</t>
  </si>
  <si>
    <t>通讯协议</t>
  </si>
  <si>
    <t>安全等级</t>
  </si>
  <si>
    <t>安全与运维说明</t>
  </si>
  <si>
    <t>效率/系统效率</t>
  </si>
  <si>
    <t>防护等级</t>
  </si>
  <si>
    <t>防腐/盐雾等级</t>
  </si>
  <si>
    <t>安装方式</t>
  </si>
  <si>
    <t>辅助供电接口</t>
  </si>
  <si>
    <t>宽(mm)</t>
  </si>
  <si>
    <t>深(mm)</t>
  </si>
  <si>
    <t>高(mm)</t>
  </si>
  <si>
    <t>重量(kg)</t>
  </si>
  <si>
    <t>容量侧单价(元/kWh)</t>
  </si>
  <si>
    <t>功率侧单价(元/kW)</t>
  </si>
  <si>
    <t>站集成系数</t>
  </si>
  <si>
    <t>消防附加系数</t>
  </si>
  <si>
    <t>年保险率</t>
  </si>
  <si>
    <t>年安全维护率</t>
  </si>
  <si>
    <t>年消防巡检率</t>
  </si>
  <si>
    <t>价格状态</t>
  </si>
  <si>
    <t>价格依据</t>
  </si>
  <si>
    <t>依据资料</t>
  </si>
  <si>
    <t>阳光电源</t>
  </si>
  <si>
    <t>ST215</t>
  </si>
  <si>
    <t>ST215kWh-100kW-2h</t>
  </si>
  <si>
    <t>柜式工商业储能</t>
  </si>
  <si>
    <t>ac_all_in_one</t>
  </si>
  <si>
    <t>工商业用户侧</t>
  </si>
  <si>
    <t>high</t>
  </si>
  <si>
    <t>EMS300CP_基础包</t>
  </si>
  <si>
    <t>LFP</t>
  </si>
  <si>
    <t>648~876</t>
  </si>
  <si>
    <t>380/400</t>
  </si>
  <si>
    <t>240S1P</t>
  </si>
  <si>
    <t>电池液冷+PCS风冷</t>
  </si>
  <si>
    <t>复合型探测器</t>
  </si>
  <si>
    <t>气溶胶灭火</t>
  </si>
  <si>
    <t>无独立备用水消防条目</t>
  </si>
  <si>
    <t>Modbus TCP</t>
  </si>
  <si>
    <t>B</t>
  </si>
  <si>
    <t>基础柜型，消防为复合探测+气溶胶，EMS为选配</t>
  </si>
  <si>
    <t>柜式一体机/整机安装</t>
  </si>
  <si>
    <t>外置系统决定</t>
  </si>
  <si>
    <t>按系统拓扑+安全等级+集成度推导（待供应商报价复核）</t>
  </si>
  <si>
    <t>ST215kWh-100kW-2h_ST225kWh-110kW-2h 系统手册.pdf</t>
  </si>
  <si>
    <t>ST225</t>
  </si>
  <si>
    <t>ST225kWh-110kW-2h</t>
  </si>
  <si>
    <t>691.2~934.4</t>
  </si>
  <si>
    <t>256S1P</t>
  </si>
  <si>
    <t>与 ST215 同平台，电压与容量更高，EMS为选配</t>
  </si>
  <si>
    <t>ST255CS</t>
  </si>
  <si>
    <t>ST255CS-2H</t>
  </si>
  <si>
    <t>380</t>
  </si>
  <si>
    <t>智能液冷</t>
  </si>
  <si>
    <t>气溶胶</t>
  </si>
  <si>
    <t>未见独立事故通风/备用系统说明</t>
  </si>
  <si>
    <t>B+</t>
  </si>
  <si>
    <t>复合探测+气溶胶，维护要求较严，适合标准安全方案</t>
  </si>
  <si>
    <t>ST255CS-2H 用户手册.pdf</t>
  </si>
  <si>
    <t>ST510CS</t>
  </si>
  <si>
    <t>ST510CS-2H-CN</t>
  </si>
  <si>
    <t>2簇平台</t>
  </si>
  <si>
    <t>电池液冷</t>
  </si>
  <si>
    <t>气溶胶+备用系统（选配）</t>
  </si>
  <si>
    <t>水消防预留/备用系统</t>
  </si>
  <si>
    <t>A-</t>
  </si>
  <si>
    <t>中功率柜，支持备用系统，维护环境要求更严格</t>
  </si>
  <si>
    <t>ST510CS-2H-CN 用户手册.pdf</t>
  </si>
  <si>
    <t>ST510CS-4H-CN</t>
  </si>
  <si>
    <t>4h 长时型，气溶胶 185±10℃，可接备用水消防</t>
  </si>
  <si>
    <t>ST510CS-4H-CN 用户手册.pdf</t>
  </si>
  <si>
    <t>ST835CS</t>
  </si>
  <si>
    <t>ST835CS-2H</t>
  </si>
  <si>
    <t>高压高安全柜式储能</t>
  </si>
  <si>
    <t>大型工商业/园区</t>
  </si>
  <si>
    <t>medium</t>
  </si>
  <si>
    <t>EMS300CP_高安全网安包</t>
  </si>
  <si>
    <t>1123.2~1497.6</t>
  </si>
  <si>
    <t>690</t>
  </si>
  <si>
    <t>416S1P*2</t>
  </si>
  <si>
    <t>全液冷智能控温</t>
  </si>
  <si>
    <t>复合型探测器+CO+烟雾</t>
  </si>
  <si>
    <t>事故通风+舱级气溶胶+水消防</t>
  </si>
  <si>
    <t>备用系统（水消防）</t>
  </si>
  <si>
    <t>Modbus TCP; IEC60870-5-104</t>
  </si>
  <si>
    <t>A</t>
  </si>
  <si>
    <t>高压平台，事故通风、防爆排风、可选PACK级消防/泄爆，需MSD管理</t>
  </si>
  <si>
    <t>高压柜式/大型工商业</t>
  </si>
  <si>
    <t>ST835CS-2H_ST835CS-4H 用户手册.pdf</t>
  </si>
  <si>
    <t>ST835CS-4H</t>
  </si>
  <si>
    <t>比亚迪储能</t>
  </si>
  <si>
    <t>Chess Plus</t>
  </si>
  <si>
    <t>IC07-B233AP125-A-R2</t>
  </si>
  <si>
    <t>工商业交流侧一体机</t>
  </si>
  <si>
    <t>BYD_内置EMS标准包</t>
  </si>
  <si>
    <t>604.2~832.2</t>
  </si>
  <si>
    <t>1P228S</t>
  </si>
  <si>
    <t>电池舱液冷</t>
  </si>
  <si>
    <t>系统级监测（手册未细化探测器）</t>
  </si>
  <si>
    <t>PACK级消防+气溶胶</t>
  </si>
  <si>
    <t>黑启动/离网微网</t>
  </si>
  <si>
    <t>否</t>
  </si>
  <si>
    <t>Modbus TCP/IP</t>
  </si>
  <si>
    <t>BYD Chess Plus；All-in-one，一体化五合一；支持黑启动与离网/微网；液冷温差≤2.5℃；PACK级消防+气溶胶；PACK IP65/整机IP55。</t>
  </si>
  <si>
    <t>RTE≥90%</t>
  </si>
  <si>
    <t>IP55</t>
  </si>
  <si>
    <t>C4</t>
  </si>
  <si>
    <t>All-in-one整机运输/模块化安装</t>
  </si>
  <si>
    <t>AC380V / 50Hz 三相四线</t>
  </si>
  <si>
    <t>Chess Plus.pdf</t>
  </si>
  <si>
    <t>直流侧X+1</t>
  </si>
  <si>
    <t>X+1_4+1</t>
  </si>
  <si>
    <t>直流侧高能量密度储能系统</t>
  </si>
  <si>
    <t>dc_side_battery_cabinet</t>
  </si>
  <si>
    <t>大型工商业/高压直流侧</t>
  </si>
  <si>
    <t>外置EMS_待定包</t>
  </si>
  <si>
    <t>1081.6~1497.6</t>
  </si>
  <si>
    <t>AC380V±5%/50Hz</t>
  </si>
  <si>
    <t>4×1P416S</t>
  </si>
  <si>
    <t>液冷</t>
  </si>
  <si>
    <t>簇级分舱/系统级消防</t>
  </si>
  <si>
    <t>全氟己酮气消防；水喷淋选配</t>
  </si>
  <si>
    <t>外置系统集成决定</t>
  </si>
  <si>
    <t>未明确</t>
  </si>
  <si>
    <t>Modbus TCP / IEC61850</t>
  </si>
  <si>
    <t>BYD 直流侧X+1 4+1；簇级分舱、单簇独立温控、液冷温差&lt;4℃；全氟己酮，水喷淋选配；高压直流侧方案。</t>
  </si>
  <si>
    <t>肩并肩/背靠背</t>
  </si>
  <si>
    <t>AC380V±5% / 50Hz 三相四线</t>
  </si>
  <si>
    <t>X+1.pdf</t>
  </si>
  <si>
    <t>X+1_5+1</t>
  </si>
  <si>
    <t>5×1P416S</t>
  </si>
  <si>
    <t>BYD 直流侧X+1 5+1；簇级分舱、液冷、高压直流侧；适合更高容量场景。</t>
  </si>
  <si>
    <t>X+1_6+1</t>
  </si>
  <si>
    <t>6×1P416S</t>
  </si>
  <si>
    <t>BYD 直流侧X+1 6+1；大容量高压直流侧方案，适合园区级/大型工商业。</t>
  </si>
  <si>
    <t>宁德时代</t>
  </si>
  <si>
    <t>EnerOne+</t>
  </si>
  <si>
    <t>户外液冷电池柜</t>
  </si>
  <si>
    <t>outdoor_liquid_cooled_cabinet</t>
  </si>
  <si>
    <t>小型储能/工商业</t>
  </si>
  <si>
    <t>600~1500（系统兼容范围）</t>
  </si>
  <si>
    <t>1P52S*8 / 280Ah</t>
  </si>
  <si>
    <t>一体化变频液冷</t>
  </si>
  <si>
    <t>独立消防系统</t>
  </si>
  <si>
    <t>外部系统决定</t>
  </si>
  <si>
    <t>外部系统集成</t>
  </si>
  <si>
    <t>CATL EnerOne+；户外液冷电池柜；IP56；C5防腐；独立消防；液冷温差&lt;3℃；适合小型储能/工商业。</t>
  </si>
  <si>
    <t>IP56</t>
  </si>
  <si>
    <t>C5</t>
  </si>
  <si>
    <t>户外柜式/带板运输</t>
  </si>
  <si>
    <t>20241108140739_npmy1re7ne.pdf</t>
  </si>
  <si>
    <t>C&amp;I All-in-one</t>
  </si>
  <si>
    <t>CATL_工商业一体机_233kWh</t>
  </si>
  <si>
    <t>CATL_OS云内置EMS包</t>
  </si>
  <si>
    <t>832（标称电压）</t>
  </si>
  <si>
    <t>1P52S*5 / 280Ah</t>
  </si>
  <si>
    <t>先进液冷机组</t>
  </si>
  <si>
    <t>四级管理架构</t>
  </si>
  <si>
    <t>手册未明确独立类型（多级保护）</t>
  </si>
  <si>
    <t>内置EMS + OS云平台</t>
  </si>
  <si>
    <t>CATL 工商业一体机；233kWh；液冷；四级管理架构；内置EMS与OS云平台；更适合作为标准用户侧方案。</t>
  </si>
  <si>
    <t>一体模块化/整体运输</t>
  </si>
  <si>
    <t>内置系统</t>
  </si>
  <si>
    <t>EnerD</t>
  </si>
  <si>
    <t>集装箱式液冷电池柜</t>
  </si>
  <si>
    <t>containerized_large_scale</t>
  </si>
  <si>
    <t>电源侧/电网侧/大型工商业</t>
  </si>
  <si>
    <t>low</t>
  </si>
  <si>
    <t>1331.2（标称）</t>
  </si>
  <si>
    <t>1P52S*96 / 314Ah</t>
  </si>
  <si>
    <t>PACK级消防+防爆设计</t>
  </si>
  <si>
    <t>CATL EnerD；5.015MWh 集装箱式液冷电池柜；PACK级消防、防爆、液冷温差&lt;3℃；适合电源侧/电网侧/大型工商业。</t>
  </si>
  <si>
    <t>IP54</t>
  </si>
  <si>
    <t>集装箱式</t>
  </si>
  <si>
    <t>EnerP</t>
  </si>
  <si>
    <t>直流耦合DCDC单元</t>
  </si>
  <si>
    <t>dc_dc_coupled_unit</t>
  </si>
  <si>
    <t>工商业/源侧直流耦合</t>
  </si>
  <si>
    <t>电池300~1200 / 母线1000~1500</t>
  </si>
  <si>
    <t>DCDC单元</t>
  </si>
  <si>
    <t>智能风机调速/模块化</t>
  </si>
  <si>
    <t>多级保护</t>
  </si>
  <si>
    <t>不适用（非独立电池系统方案）</t>
  </si>
  <si>
    <t>不适用</t>
  </si>
  <si>
    <t>CATL EnerP 为直流耦合DCDC单元，非完整独立储能方案；保留在库中供系统级扩展使用，不进入默认候选池。</t>
  </si>
  <si>
    <t>IP66</t>
  </si>
  <si>
    <t>机柜式/DCDC单元</t>
  </si>
  <si>
    <t>EMS控制包库</t>
  </si>
  <si>
    <t>ems_model</t>
  </si>
  <si>
    <t>cyber_security_mode</t>
  </si>
  <si>
    <t>certificate_management</t>
  </si>
  <si>
    <t>public_key_import</t>
  </si>
  <si>
    <t>remote_maintenance</t>
  </si>
  <si>
    <t>anti_backfeed</t>
  </si>
  <si>
    <t>overload_protection</t>
  </si>
  <si>
    <t>backup_power</t>
  </si>
  <si>
    <t>soc_protection</t>
  </si>
  <si>
    <t>dispatch_permission_mode</t>
  </si>
  <si>
    <t>vpp_dispatch</t>
  </si>
  <si>
    <t>capex_addon_yuan</t>
  </si>
  <si>
    <t>annual_maintenance_yuan</t>
  </si>
  <si>
    <t>notes</t>
  </si>
  <si>
    <t>控制包名称</t>
  </si>
  <si>
    <t>EMS型号</t>
  </si>
  <si>
    <t>网安模式</t>
  </si>
  <si>
    <t>证书管理</t>
  </si>
  <si>
    <t>公钥导入</t>
  </si>
  <si>
    <t>远程维护</t>
  </si>
  <si>
    <t>防逆流</t>
  </si>
  <si>
    <t>过载保护</t>
  </si>
  <si>
    <t>备电</t>
  </si>
  <si>
    <t>SOC保护</t>
  </si>
  <si>
    <t>调度权限模式</t>
  </si>
  <si>
    <t>VPP调度</t>
  </si>
  <si>
    <t>附加投资(元)</t>
  </si>
  <si>
    <t>年维护费(元)</t>
  </si>
  <si>
    <t>说明</t>
  </si>
  <si>
    <t>EMS300CP</t>
  </si>
  <si>
    <t>默认</t>
  </si>
  <si>
    <t>仅保留基础监控/联接能力；价格待补</t>
  </si>
  <si>
    <t>EMS300CP 用户手册.pdf</t>
  </si>
  <si>
    <t>协议优先级模式</t>
  </si>
  <si>
    <t>建议用于工商业标准方案：网安、防逆流、过载保护、备电、SOC保护</t>
  </si>
  <si>
    <t>独占模式</t>
  </si>
  <si>
    <t>用于高安全方案：启用网安模式、证书管理、公钥导入、远程维护、独占调度</t>
  </si>
  <si>
    <t>External EMS TBD</t>
  </si>
  <si>
    <t>用于直流侧电池柜/户外液冷电池柜等需外部系统集成的方案；价格待补。</t>
  </si>
  <si>
    <t>设备手册未提供EMS报价</t>
  </si>
  <si>
    <t>BYD Integrated EMS</t>
  </si>
  <si>
    <t>Chess Plus内置EMS与远程AI云平台监控预警。</t>
  </si>
  <si>
    <t>CATL OS Cloud EMS</t>
  </si>
  <si>
    <t>CATL工商业一体机内置EMS，搭配OS云平台。</t>
  </si>
  <si>
    <t>字段说明与价格推导</t>
  </si>
  <si>
    <t>1）设备参数、安全和安装信息优先依据用户提供的阳光电源、比亚迪、宁德时代资料整理。</t>
  </si>
  <si>
    <t>2）价格未见官方报价时，按“系统拓扑 × 安全等级 × 集成度”进行工程估算，仅用于前期选型比较，最终应以供应商报价复核。</t>
  </si>
  <si>
    <t>3）主表第12行为程序字段名，第13行为中文标注；后续代码读取时应以第12行为表头并跳过第13行。</t>
  </si>
  <si>
    <t>英文字段名</t>
  </si>
  <si>
    <t>中文标注</t>
  </si>
  <si>
    <t>含义说明</t>
  </si>
  <si>
    <t>建议代码是否读取</t>
  </si>
  <si>
    <t>是否启用</t>
  </si>
  <si>
    <t>1=启用；0=停用</t>
  </si>
  <si>
    <t>是</t>
  </si>
  <si>
    <t>设备品牌/厂家</t>
  </si>
  <si>
    <t>产品系列名称</t>
  </si>
  <si>
    <t>具体可落地型号</t>
  </si>
  <si>
    <t>交流侧一体机/直流侧系统/大柜等</t>
  </si>
  <si>
    <t>机器可读分类标签</t>
  </si>
  <si>
    <t>与EMS控制包库关联</t>
  </si>
  <si>
    <t>单套设备标称功率</t>
  </si>
  <si>
    <t>单套设备标称容量</t>
  </si>
  <si>
    <t>人工安全等级</t>
  </si>
  <si>
    <t>A/A-/B+/B</t>
  </si>
  <si>
    <t>按拓扑和安全等级推导的容量侧估算</t>
  </si>
  <si>
    <t>按拓扑和安全等级推导的功率侧估算</t>
  </si>
  <si>
    <t>占设备本体投资的比例</t>
  </si>
  <si>
    <t>推导估算/需人工复核</t>
  </si>
  <si>
    <t>推导逻辑或报价来源说明</t>
  </si>
  <si>
    <t>建议</t>
  </si>
  <si>
    <t>中文说明</t>
  </si>
  <si>
    <t>base_energy_unit_price</t>
  </si>
  <si>
    <t>base_power_capex</t>
  </si>
  <si>
    <t>station_ratio</t>
  </si>
  <si>
    <t>fire_ratio</t>
  </si>
  <si>
    <t>energy_mult</t>
  </si>
  <si>
    <t>power_mult</t>
  </si>
  <si>
    <t>insurance_rate</t>
  </si>
  <si>
    <t>safety_maint_rate</t>
  </si>
  <si>
    <t>fire_inspection_rate</t>
  </si>
  <si>
    <t>交流侧一体机</t>
  </si>
  <si>
    <t>高安全平台/事故通风/高压或多重消防</t>
  </si>
  <si>
    <t>直流侧电池柜/电池舱</t>
  </si>
  <si>
    <t>标准高安全一体机</t>
  </si>
  <si>
    <t>标准安全柜型</t>
  </si>
  <si>
    <t>大型箱式/集装箱系统</t>
  </si>
  <si>
    <t>基础安全方案</t>
  </si>
  <si>
    <t>直流耦合功率单元</t>
  </si>
  <si>
    <t>手册依据与建表说明</t>
  </si>
  <si>
    <t>文件</t>
  </si>
  <si>
    <t>可直接入表的关键信息</t>
  </si>
  <si>
    <t>已写入位置</t>
  </si>
  <si>
    <t>价格字段</t>
  </si>
  <si>
    <t>备注</t>
  </si>
  <si>
    <t>型号、额定容量、直流范围、交流电压、液冷/风冷、消防配置、通信协议</t>
  </si>
  <si>
    <t>储能策略与设备库</t>
  </si>
  <si>
    <t>手册未提供</t>
  </si>
  <si>
    <t>EMS为选配</t>
  </si>
  <si>
    <t>型号、257kWh、691.2~934.4V、380V、智能液冷、复合探测器+气溶胶</t>
  </si>
  <si>
    <t>标准安全柜</t>
  </si>
  <si>
    <t>EMS300CP 选配、电表要求、维护环境限制、备用系统</t>
  </si>
  <si>
    <t>储能策略与设备库 / EMS控制包库</t>
  </si>
  <si>
    <t>适合标准安全方案</t>
  </si>
  <si>
    <t>探测系统、气溶胶185±10℃、备用系统水消防接口要求</t>
  </si>
  <si>
    <t>4h 长时型</t>
  </si>
  <si>
    <t>836kWh、1123.2~1497.6V、690V、全液冷、事故通风、舱级气溶胶、水消防、可选PACK级消防、MSD</t>
  </si>
  <si>
    <t>高压高安全平台</t>
  </si>
  <si>
    <t>网安模式、证书管理、公钥导入、远程维护、防逆流、过载保护、备电、SOC保护、调度权限管理</t>
  </si>
  <si>
    <t>EMS控制包库 / 控制开关</t>
  </si>
  <si>
    <t>控制层安全配置</t>
  </si>
  <si>
    <t>型号、233kWh/125kW、729.6V、380V、液冷、PACK级消防+气溶胶、黑启动、微网、IP65/IP55、Modbus TCP/IP</t>
  </si>
  <si>
    <t>已按系统拓扑与安全等级推导</t>
  </si>
  <si>
    <t>适合作为标准工商业交流侧一体机</t>
  </si>
  <si>
    <t>4+1/5+1/6+1 三种高压直流侧方案；2004/2505/3006kWh；簇级分舱；全氟己酮；水喷淋选配；Modbus TCP / IEC61850</t>
  </si>
  <si>
    <t>适合作为高容量直流侧候选方案</t>
  </si>
  <si>
    <t>EnerOne+、工商业一体机、EnerD、EnerP等产品谱系；液冷、独立消防、PACK级消防、防爆、OS云平台等信息</t>
  </si>
  <si>
    <t>工商业一体机与大型系统级设备并存</t>
  </si>
  <si>
    <t>价格说明</t>
  </si>
  <si>
    <t>本版已补充容量侧单价、功率侧单价以及消防/站集成/年费率等推导值，用于前期方案比选；正式投标/立项前应以供应商报价替换。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</si>
</sst>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9"/>
      <name val="Calibri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4DFEC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7E6E6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2" fillId="2" borderId="1" xfId="1" applyFont="1" applyFill="1" applyBorder="1"/>
    <xf numFmtId="0" fontId="0" fillId="0" borderId="1" xfId="1" applyFont="1" applyBorder="1" applyAlignment="1">
      <alignment vertical="top" wrapText="1"/>
    </xf>
    <xf numFmtId="0" fontId="0" fillId="0" borderId="0" xfId="0"/>
    <xf numFmtId="0" fontId="4" fillId="0" borderId="1" xfId="0" applyFont="1" applyBorder="1" applyAlignment="1">
      <alignment vertical="top" wrapText="1"/>
    </xf>
    <xf numFmtId="0" fontId="4" fillId="0" borderId="0" xfId="0" applyFont="1"/>
    <xf numFmtId="0" fontId="0" fillId="5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3" fontId="0" fillId="0" borderId="7" xfId="0" applyNumberFormat="1" applyBorder="1" applyAlignment="1">
      <alignment horizontal="center" vertical="center" wrapText="1"/>
    </xf>
    <xf numFmtId="176" fontId="0" fillId="0" borderId="7" xfId="0" applyNumberFormat="1" applyBorder="1" applyAlignment="1">
      <alignment horizontal="center" vertical="center" wrapText="1"/>
    </xf>
    <xf numFmtId="0" fontId="0" fillId="6" borderId="7" xfId="0" applyFill="1" applyBorder="1" applyAlignment="1">
      <alignment horizontal="left" vertical="center" wrapText="1"/>
    </xf>
    <xf numFmtId="3" fontId="0" fillId="7" borderId="7" xfId="0" applyNumberFormat="1" applyFill="1" applyBorder="1" applyAlignment="1">
      <alignment horizontal="left" vertical="center" wrapText="1"/>
    </xf>
    <xf numFmtId="177" fontId="0" fillId="7" borderId="7" xfId="0" applyNumberFormat="1" applyFill="1" applyBorder="1" applyAlignment="1">
      <alignment horizontal="left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0" fillId="3" borderId="7" xfId="1" applyFont="1" applyFill="1" applyBorder="1" applyAlignment="1">
      <alignment horizontal="left" vertical="center" wrapText="1"/>
    </xf>
    <xf numFmtId="0" fontId="0" fillId="3" borderId="7" xfId="1" applyFont="1" applyFill="1" applyBorder="1" applyAlignment="1">
      <alignment horizontal="center" vertical="center" wrapText="1"/>
    </xf>
    <xf numFmtId="3" fontId="3" fillId="7" borderId="7" xfId="1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 wrapText="1"/>
    </xf>
    <xf numFmtId="1" fontId="4" fillId="3" borderId="7" xfId="0" applyNumberFormat="1" applyFont="1" applyFill="1" applyBorder="1" applyAlignment="1">
      <alignment horizontal="center" vertical="center" wrapText="1"/>
    </xf>
    <xf numFmtId="3" fontId="3" fillId="7" borderId="7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0" fillId="0" borderId="0" xfId="0"/>
    <xf numFmtId="0" fontId="6" fillId="6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0" xfId="1" applyFont="1" applyFill="1" applyAlignment="1">
      <alignment horizontal="center"/>
    </xf>
    <xf numFmtId="0" fontId="4" fillId="0" borderId="1" xfId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2">
    <cellStyle name="Normal" xfId="1" xr:uid="{00000000-0005-0000-0000-000001000000}"/>
    <cellStyle name="常规" xfId="0" builtinId="0"/>
  </cellStyles>
  <dxfs count="1"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342900</xdr:colOff>
      <xdr:row>14</xdr:row>
      <xdr:rowOff>349250</xdr:rowOff>
    </xdr:to>
    <xdr:sp macro="" textlink="">
      <xdr:nvSpPr>
        <xdr:cNvPr id="1077" name="Text Box 53" hidden="1">
          <a:extLst>
            <a:ext uri="{FF2B5EF4-FFF2-40B4-BE49-F238E27FC236}">
              <a16:creationId xmlns:a16="http://schemas.microsoft.com/office/drawing/2014/main" id="{5C45C2A1-8542-6A54-67DA-8167270A985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342900</xdr:colOff>
      <xdr:row>14</xdr:row>
      <xdr:rowOff>349250</xdr:rowOff>
    </xdr:to>
    <xdr:sp macro="" textlink="">
      <xdr:nvSpPr>
        <xdr:cNvPr id="2" name="AutoShape 53">
          <a:extLst>
            <a:ext uri="{FF2B5EF4-FFF2-40B4-BE49-F238E27FC236}">
              <a16:creationId xmlns:a16="http://schemas.microsoft.com/office/drawing/2014/main" id="{00D8C35F-502F-96D5-4052-4273BBD3E0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_library" displayName="device_library" ref="A12:AK19">
  <autoFilter ref="A12:AK19" xr:uid="{00000000-0009-0000-0100-000001000000}"/>
  <tableColumns count="37">
    <tableColumn id="1" xr3:uid="{00000000-0010-0000-0000-000001000000}" name="enabled"/>
    <tableColumn id="2" xr3:uid="{00000000-0010-0000-0000-000002000000}" name="device_model"/>
    <tableColumn id="3" xr3:uid="{00000000-0010-0000-0000-000003000000}" name="device_family"/>
    <tableColumn id="4" xr3:uid="{00000000-0010-0000-0000-000004000000}" name="ems_package_name"/>
    <tableColumn id="5" xr3:uid="{00000000-0010-0000-0000-000005000000}" name="battery_chemistry"/>
    <tableColumn id="6" xr3:uid="{00000000-0010-0000-0000-000006000000}" name="rated_power_kw"/>
    <tableColumn id="7" xr3:uid="{00000000-0010-0000-0000-000007000000}" name="rated_energy_kwh"/>
    <tableColumn id="8" xr3:uid="{00000000-0010-0000-0000-000008000000}" name="duration_h"/>
    <tableColumn id="9" xr3:uid="{00000000-0010-0000-0000-000009000000}" name="dc_voltage_range_v"/>
    <tableColumn id="10" xr3:uid="{00000000-0010-0000-0000-00000A000000}" name="ac_grid_voltage_v"/>
    <tableColumn id="11" xr3:uid="{00000000-0010-0000-0000-00000B000000}" name="battery_config"/>
    <tableColumn id="12" xr3:uid="{00000000-0010-0000-0000-00000C000000}" name="cooling_type"/>
    <tableColumn id="13" xr3:uid="{00000000-0010-0000-0000-00000D000000}" name="fire_detection"/>
    <tableColumn id="14" xr3:uid="{00000000-0010-0000-0000-00000E000000}" name="fire_suppression"/>
    <tableColumn id="15" xr3:uid="{00000000-0010-0000-0000-00000F000000}" name="backup_system"/>
    <tableColumn id="16" xr3:uid="{00000000-0010-0000-0000-000010000000}" name="accident_ventilation"/>
    <tableColumn id="17" xr3:uid="{00000000-0010-0000-0000-000011000000}" name="sound_light_alarm"/>
    <tableColumn id="18" xr3:uid="{00000000-0010-0000-0000-000012000000}" name="pack_level_firefighting_optional"/>
    <tableColumn id="19" xr3:uid="{00000000-0010-0000-0000-000013000000}" name="explosion_relief_optional"/>
    <tableColumn id="20" xr3:uid="{00000000-0010-0000-0000-000014000000}" name="maintenance_humidity_limit_pct"/>
    <tableColumn id="21" xr3:uid="{00000000-0010-0000-0000-000015000000}" name="msd_required"/>
    <tableColumn id="22" xr3:uid="{00000000-0010-0000-0000-000016000000}" name="communication_protocol"/>
    <tableColumn id="23" xr3:uid="{00000000-0010-0000-0000-000017000000}" name="manual_safety_grade"/>
    <tableColumn id="24" xr3:uid="{00000000-0010-0000-0000-000018000000}" name="manual_safety_notes"/>
    <tableColumn id="25" xr3:uid="{00000000-0010-0000-0000-000019000000}" name="energy_unit_price_yuan_per_kwh"/>
    <tableColumn id="26" xr3:uid="{00000000-0010-0000-0000-00001A000000}" name="power_related_capex_yuan_per_kw"/>
    <tableColumn id="27" xr3:uid="{00000000-0010-0000-0000-00001B000000}" name="station_integration_capex_ratio"/>
    <tableColumn id="28" xr3:uid="{00000000-0010-0000-0000-00001C000000}" name="fire_protection_capex_ratio"/>
    <tableColumn id="29" xr3:uid="{00000000-0010-0000-0000-00001D000000}" name="gas_detection_capex_yuan_per_kwh"/>
    <tableColumn id="30" xr3:uid="{00000000-0010-0000-0000-00001E000000}" name="explosion_relief_capex_yuan_per_kwh"/>
    <tableColumn id="31" xr3:uid="{00000000-0010-0000-0000-00001F000000}" name="thermal_management_upgrade_capex_yuan_per_kwh"/>
    <tableColumn id="32" xr3:uid="{00000000-0010-0000-0000-000020000000}" name="bms_redundancy_capex_yuan_per_kwh"/>
    <tableColumn id="33" xr3:uid="{00000000-0010-0000-0000-000021000000}" name="annual_insurance_rate_on_capex"/>
    <tableColumn id="34" xr3:uid="{00000000-0010-0000-0000-000022000000}" name="annual_safety_maintenance_rate_on_capex"/>
    <tableColumn id="35" xr3:uid="{00000000-0010-0000-0000-000023000000}" name="annual_fire_system_inspection_rate_on_capex"/>
    <tableColumn id="36" xr3:uid="{00000000-0010-0000-0000-000024000000}" name="price_status"/>
    <tableColumn id="37" xr3:uid="{00000000-0010-0000-0000-000025000000}" name="source_fi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s_library" displayName="ems_library" ref="A3:P6">
  <autoFilter ref="A3:P6" xr:uid="{00000000-0009-0000-0100-000002000000}"/>
  <tableColumns count="16">
    <tableColumn id="1" xr3:uid="{00000000-0010-0000-0100-000001000000}" name="ems_package_name"/>
    <tableColumn id="2" xr3:uid="{00000000-0010-0000-0100-000002000000}" name="ems_model"/>
    <tableColumn id="3" xr3:uid="{00000000-0010-0000-0100-000003000000}" name="cyber_security_mode"/>
    <tableColumn id="4" xr3:uid="{00000000-0010-0000-0100-000004000000}" name="certificate_management"/>
    <tableColumn id="5" xr3:uid="{00000000-0010-0000-0100-000005000000}" name="public_key_import"/>
    <tableColumn id="6" xr3:uid="{00000000-0010-0000-0100-000006000000}" name="remote_maintenance"/>
    <tableColumn id="7" xr3:uid="{00000000-0010-0000-0100-000007000000}" name="anti_backfeed"/>
    <tableColumn id="8" xr3:uid="{00000000-0010-0000-0100-000008000000}" name="overload_protection"/>
    <tableColumn id="9" xr3:uid="{00000000-0010-0000-0100-000009000000}" name="backup_power"/>
    <tableColumn id="10" xr3:uid="{00000000-0010-0000-0100-00000A000000}" name="soc_protection"/>
    <tableColumn id="11" xr3:uid="{00000000-0010-0000-0100-00000B000000}" name="dispatch_permission_mode"/>
    <tableColumn id="12" xr3:uid="{00000000-0010-0000-0100-00000C000000}" name="vpp_dispatch"/>
    <tableColumn id="13" xr3:uid="{00000000-0010-0000-0100-00000D000000}" name="capex_addon_yuan"/>
    <tableColumn id="14" xr3:uid="{00000000-0010-0000-0100-00000E000000}" name="annual_maintenance_yuan"/>
    <tableColumn id="15" xr3:uid="{00000000-0010-0000-0100-00000F000000}" name="notes"/>
    <tableColumn id="16" xr3:uid="{00000000-0010-0000-0100-000010000000}" name="source_fi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8"/>
  <sheetViews>
    <sheetView showGridLines="0" tabSelected="1" topLeftCell="A7" workbookViewId="0">
      <selection activeCell="E11" sqref="E11"/>
    </sheetView>
  </sheetViews>
  <sheetFormatPr defaultRowHeight="14.5" x14ac:dyDescent="0.35"/>
  <cols>
    <col min="1" max="1" width="8" style="3" customWidth="1"/>
    <col min="2" max="2" width="10" style="3" customWidth="1"/>
    <col min="3" max="3" width="12" style="3" customWidth="1"/>
    <col min="4" max="4" width="22" style="3" customWidth="1"/>
    <col min="5" max="5" width="16" style="3" customWidth="1"/>
    <col min="6" max="6" width="18" style="3" customWidth="1"/>
    <col min="7" max="7" width="16" style="3" customWidth="1"/>
    <col min="8" max="8" width="12" style="3" customWidth="1"/>
    <col min="9" max="9" width="10" style="3" customWidth="1"/>
    <col min="10" max="10" width="16" style="3" customWidth="1"/>
    <col min="11" max="11" width="10" style="3" customWidth="1"/>
    <col min="12" max="12" width="11" style="3" customWidth="1"/>
    <col min="13" max="13" width="10" style="3" customWidth="1"/>
    <col min="14" max="14" width="12" style="3" customWidth="1"/>
    <col min="15" max="15" width="10" style="3" customWidth="1"/>
    <col min="16" max="16" width="11" style="3" customWidth="1"/>
    <col min="17" max="17" width="12" style="3" customWidth="1"/>
    <col min="18" max="18" width="14" style="3" customWidth="1"/>
    <col min="19" max="19" width="8" style="3" customWidth="1"/>
    <col min="20" max="20" width="16" style="3" customWidth="1"/>
    <col min="21" max="21" width="14" style="3" customWidth="1"/>
    <col min="22" max="22" width="16" style="3" customWidth="1"/>
    <col min="23" max="24" width="14" style="3" customWidth="1"/>
    <col min="25" max="25" width="16" style="3" customWidth="1"/>
    <col min="26" max="26" width="13" style="3" customWidth="1"/>
    <col min="27" max="29" width="10" style="3" customWidth="1"/>
    <col min="30" max="30" width="8" style="3" customWidth="1"/>
    <col min="31" max="31" width="18" style="3" customWidth="1"/>
    <col min="32" max="32" width="10" style="3" customWidth="1"/>
    <col min="33" max="33" width="34" style="3" customWidth="1"/>
    <col min="34" max="34" width="12" style="3" customWidth="1"/>
    <col min="35" max="35" width="10" style="3" customWidth="1"/>
    <col min="36" max="36" width="12" style="3" customWidth="1"/>
    <col min="37" max="38" width="18" style="3" customWidth="1"/>
    <col min="39" max="42" width="10" style="3" customWidth="1"/>
    <col min="43" max="44" width="14" style="3" customWidth="1"/>
    <col min="45" max="46" width="12" style="3" customWidth="1"/>
    <col min="47" max="47" width="10" style="3" customWidth="1"/>
    <col min="48" max="49" width="12" style="3" customWidth="1"/>
    <col min="50" max="50" width="10" style="3" customWidth="1"/>
    <col min="51" max="52" width="24" style="3" customWidth="1"/>
    <col min="53" max="53" width="12" style="3" customWidth="1"/>
    <col min="54" max="54" width="14" style="3" customWidth="1"/>
    <col min="55" max="56" width="12" style="3" customWidth="1"/>
    <col min="57" max="57" width="18" style="3" customWidth="1"/>
    <col min="58" max="62" width="12" style="3" customWidth="1"/>
    <col min="63" max="63" width="28" style="3" customWidth="1"/>
    <col min="64" max="64" width="18" style="3" customWidth="1"/>
  </cols>
  <sheetData>
    <row r="1" spans="1:52" s="3" customFormat="1" ht="24" customHeight="1" x14ac:dyDescent="0.3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3" spans="1:52" x14ac:dyDescent="0.35">
      <c r="A3" s="31" t="s">
        <v>1</v>
      </c>
      <c r="B3" s="29"/>
      <c r="C3" s="29"/>
      <c r="D3" s="29"/>
      <c r="F3" s="30" t="s">
        <v>2</v>
      </c>
      <c r="G3" s="29"/>
      <c r="H3" s="29"/>
      <c r="I3" s="29"/>
      <c r="J3" s="29"/>
    </row>
    <row r="4" spans="1:52" s="3" customFormat="1" ht="36" customHeight="1" x14ac:dyDescent="0.35">
      <c r="A4" s="6" t="s">
        <v>3</v>
      </c>
      <c r="B4" s="7">
        <v>1</v>
      </c>
      <c r="F4" s="32" t="s">
        <v>4</v>
      </c>
      <c r="G4" s="29"/>
      <c r="H4" s="29"/>
      <c r="I4" s="29"/>
      <c r="J4" s="29"/>
    </row>
    <row r="5" spans="1:52" s="3" customFormat="1" ht="42" customHeight="1" x14ac:dyDescent="0.35">
      <c r="A5" s="6" t="s">
        <v>5</v>
      </c>
      <c r="B5" s="7" t="str">
        <f>CHOOSE(B4+1,"0=经济优先；1=均衡优先；2=安全优先","0=经济优先；1=均衡优先；2=安全优先","0=经济优先；1=均衡优先；2=安全优先")</f>
        <v>0=经济优先；1=均衡优先；2=安全优先</v>
      </c>
      <c r="F5" s="32" t="s">
        <v>6</v>
      </c>
      <c r="G5" s="29"/>
      <c r="H5" s="29"/>
      <c r="I5" s="29"/>
      <c r="J5" s="29"/>
    </row>
    <row r="6" spans="1:52" s="3" customFormat="1" ht="42" customHeight="1" x14ac:dyDescent="0.35">
      <c r="A6" s="6" t="s">
        <v>7</v>
      </c>
      <c r="B6" s="7">
        <f>CHOOSE(B4+1,0.75,0.55,0.35)</f>
        <v>0.55000000000000004</v>
      </c>
      <c r="F6" s="32" t="s">
        <v>8</v>
      </c>
      <c r="G6" s="29"/>
      <c r="H6" s="29"/>
      <c r="I6" s="29"/>
      <c r="J6" s="29"/>
    </row>
    <row r="7" spans="1:52" ht="72.5" x14ac:dyDescent="0.35">
      <c r="A7" s="6" t="s">
        <v>9</v>
      </c>
      <c r="B7" s="7">
        <f>CHOOSE(B4+1,0.25,0.45,0.65)</f>
        <v>0.45</v>
      </c>
      <c r="F7" s="8" t="s">
        <v>10</v>
      </c>
    </row>
    <row r="8" spans="1:52" ht="72.5" x14ac:dyDescent="0.35">
      <c r="A8" s="6" t="s">
        <v>11</v>
      </c>
      <c r="B8" s="7">
        <f>CHOOSE(B4+1,60,70,80)</f>
        <v>70</v>
      </c>
      <c r="F8" s="8" t="s">
        <v>12</v>
      </c>
    </row>
    <row r="9" spans="1:52" ht="43.5" x14ac:dyDescent="0.35">
      <c r="A9" s="6" t="s">
        <v>13</v>
      </c>
      <c r="B9" s="7" t="s">
        <v>14</v>
      </c>
    </row>
    <row r="12" spans="1:52" s="3" customFormat="1" ht="26" customHeight="1" x14ac:dyDescent="0.35">
      <c r="A12" s="9" t="s">
        <v>15</v>
      </c>
      <c r="B12" s="9" t="s">
        <v>16</v>
      </c>
      <c r="C12" s="9" t="s">
        <v>17</v>
      </c>
      <c r="D12" s="9" t="s">
        <v>18</v>
      </c>
      <c r="E12" s="9" t="s">
        <v>19</v>
      </c>
      <c r="F12" s="9" t="s">
        <v>20</v>
      </c>
      <c r="G12" s="9" t="s">
        <v>21</v>
      </c>
      <c r="H12" s="9" t="s">
        <v>22</v>
      </c>
      <c r="I12" s="9" t="s">
        <v>23</v>
      </c>
      <c r="J12" s="9" t="s">
        <v>24</v>
      </c>
      <c r="K12" s="9" t="s">
        <v>25</v>
      </c>
      <c r="L12" s="9" t="s">
        <v>26</v>
      </c>
      <c r="M12" s="9" t="s">
        <v>27</v>
      </c>
      <c r="N12" s="9" t="s">
        <v>28</v>
      </c>
      <c r="O12" s="9" t="s">
        <v>29</v>
      </c>
      <c r="P12" s="9" t="s">
        <v>30</v>
      </c>
      <c r="Q12" s="9" t="s">
        <v>31</v>
      </c>
      <c r="R12" s="9" t="s">
        <v>32</v>
      </c>
      <c r="S12" s="9" t="s">
        <v>33</v>
      </c>
      <c r="T12" s="9" t="s">
        <v>34</v>
      </c>
      <c r="U12" s="9" t="s">
        <v>35</v>
      </c>
      <c r="V12" s="9" t="s">
        <v>36</v>
      </c>
      <c r="W12" s="9" t="s">
        <v>37</v>
      </c>
      <c r="X12" s="9" t="s">
        <v>38</v>
      </c>
      <c r="Y12" s="9" t="s">
        <v>39</v>
      </c>
      <c r="Z12" s="9" t="s">
        <v>40</v>
      </c>
      <c r="AA12" s="9" t="s">
        <v>41</v>
      </c>
      <c r="AB12" s="9" t="s">
        <v>42</v>
      </c>
      <c r="AC12" s="9" t="s">
        <v>43</v>
      </c>
      <c r="AD12" s="9" t="s">
        <v>44</v>
      </c>
      <c r="AE12" s="9" t="s">
        <v>45</v>
      </c>
      <c r="AF12" s="9" t="s">
        <v>46</v>
      </c>
      <c r="AG12" s="9" t="s">
        <v>47</v>
      </c>
      <c r="AH12" s="9" t="s">
        <v>48</v>
      </c>
      <c r="AI12" s="9" t="s">
        <v>49</v>
      </c>
      <c r="AJ12" s="9" t="s">
        <v>50</v>
      </c>
      <c r="AK12" s="9" t="s">
        <v>51</v>
      </c>
      <c r="AL12" s="9" t="s">
        <v>52</v>
      </c>
      <c r="AM12" s="9" t="s">
        <v>53</v>
      </c>
      <c r="AN12" s="9" t="s">
        <v>54</v>
      </c>
      <c r="AO12" s="9" t="s">
        <v>55</v>
      </c>
      <c r="AP12" s="9" t="s">
        <v>56</v>
      </c>
      <c r="AQ12" s="9" t="s">
        <v>57</v>
      </c>
      <c r="AR12" s="9" t="s">
        <v>58</v>
      </c>
      <c r="AS12" s="9" t="s">
        <v>59</v>
      </c>
      <c r="AT12" s="9" t="s">
        <v>60</v>
      </c>
      <c r="AU12" s="9" t="s">
        <v>61</v>
      </c>
      <c r="AV12" s="9" t="s">
        <v>62</v>
      </c>
      <c r="AW12" s="9" t="s">
        <v>63</v>
      </c>
      <c r="AX12" s="9" t="s">
        <v>64</v>
      </c>
      <c r="AY12" s="9" t="s">
        <v>65</v>
      </c>
      <c r="AZ12" s="9" t="s">
        <v>66</v>
      </c>
    </row>
    <row r="13" spans="1:52" s="3" customFormat="1" ht="22" customHeight="1" x14ac:dyDescent="0.35">
      <c r="A13" s="10" t="s">
        <v>67</v>
      </c>
      <c r="B13" s="10" t="s">
        <v>68</v>
      </c>
      <c r="C13" s="10" t="s">
        <v>69</v>
      </c>
      <c r="D13" s="10" t="s">
        <v>70</v>
      </c>
      <c r="E13" s="10" t="s">
        <v>71</v>
      </c>
      <c r="F13" s="10" t="s">
        <v>72</v>
      </c>
      <c r="G13" s="10" t="s">
        <v>73</v>
      </c>
      <c r="H13" s="10" t="s">
        <v>74</v>
      </c>
      <c r="I13" s="10" t="s">
        <v>75</v>
      </c>
      <c r="J13" s="10" t="s">
        <v>76</v>
      </c>
      <c r="K13" s="10" t="s">
        <v>77</v>
      </c>
      <c r="L13" s="10" t="s">
        <v>78</v>
      </c>
      <c r="M13" s="10" t="s">
        <v>79</v>
      </c>
      <c r="N13" s="10" t="s">
        <v>80</v>
      </c>
      <c r="O13" s="10" t="s">
        <v>81</v>
      </c>
      <c r="P13" s="10" t="s">
        <v>82</v>
      </c>
      <c r="Q13" s="10" t="s">
        <v>83</v>
      </c>
      <c r="R13" s="10" t="s">
        <v>84</v>
      </c>
      <c r="S13" s="10" t="s">
        <v>85</v>
      </c>
      <c r="T13" s="10" t="s">
        <v>86</v>
      </c>
      <c r="U13" s="10" t="s">
        <v>87</v>
      </c>
      <c r="V13" s="10" t="s">
        <v>88</v>
      </c>
      <c r="W13" s="10" t="s">
        <v>89</v>
      </c>
      <c r="X13" s="10" t="s">
        <v>90</v>
      </c>
      <c r="Y13" s="10" t="s">
        <v>91</v>
      </c>
      <c r="Z13" s="10" t="s">
        <v>92</v>
      </c>
      <c r="AA13" s="10" t="s">
        <v>93</v>
      </c>
      <c r="AB13" s="10" t="s">
        <v>94</v>
      </c>
      <c r="AC13" s="10" t="s">
        <v>95</v>
      </c>
      <c r="AD13" s="10" t="s">
        <v>96</v>
      </c>
      <c r="AE13" s="10" t="s">
        <v>97</v>
      </c>
      <c r="AF13" s="10" t="s">
        <v>98</v>
      </c>
      <c r="AG13" s="10" t="s">
        <v>99</v>
      </c>
      <c r="AH13" s="10" t="s">
        <v>100</v>
      </c>
      <c r="AI13" s="10" t="s">
        <v>101</v>
      </c>
      <c r="AJ13" s="10" t="s">
        <v>102</v>
      </c>
      <c r="AK13" s="10" t="s">
        <v>103</v>
      </c>
      <c r="AL13" s="10" t="s">
        <v>104</v>
      </c>
      <c r="AM13" s="10" t="s">
        <v>105</v>
      </c>
      <c r="AN13" s="10" t="s">
        <v>106</v>
      </c>
      <c r="AO13" s="10" t="s">
        <v>107</v>
      </c>
      <c r="AP13" s="10" t="s">
        <v>108</v>
      </c>
      <c r="AQ13" s="10" t="s">
        <v>109</v>
      </c>
      <c r="AR13" s="10" t="s">
        <v>110</v>
      </c>
      <c r="AS13" s="10" t="s">
        <v>111</v>
      </c>
      <c r="AT13" s="10" t="s">
        <v>112</v>
      </c>
      <c r="AU13" s="10" t="s">
        <v>113</v>
      </c>
      <c r="AV13" s="10" t="s">
        <v>114</v>
      </c>
      <c r="AW13" s="10" t="s">
        <v>115</v>
      </c>
      <c r="AX13" s="10" t="s">
        <v>116</v>
      </c>
      <c r="AY13" s="10" t="s">
        <v>117</v>
      </c>
      <c r="AZ13" s="10" t="s">
        <v>118</v>
      </c>
    </row>
    <row r="14" spans="1:52" s="3" customFormat="1" ht="34" customHeight="1" x14ac:dyDescent="0.35">
      <c r="A14" s="11">
        <v>1</v>
      </c>
      <c r="B14" s="12" t="s">
        <v>119</v>
      </c>
      <c r="C14" s="12" t="s">
        <v>120</v>
      </c>
      <c r="D14" s="12" t="s">
        <v>121</v>
      </c>
      <c r="E14" s="12" t="s">
        <v>122</v>
      </c>
      <c r="F14" s="13" t="s">
        <v>123</v>
      </c>
      <c r="G14" s="12" t="s">
        <v>124</v>
      </c>
      <c r="H14" s="12" t="s">
        <v>125</v>
      </c>
      <c r="I14" s="11">
        <v>1</v>
      </c>
      <c r="J14" s="12" t="s">
        <v>126</v>
      </c>
      <c r="K14" s="11">
        <v>0</v>
      </c>
      <c r="L14" s="11">
        <v>0</v>
      </c>
      <c r="M14" s="11">
        <v>0</v>
      </c>
      <c r="N14" s="11">
        <v>0</v>
      </c>
      <c r="O14" s="12" t="s">
        <v>127</v>
      </c>
      <c r="P14" s="14">
        <v>125</v>
      </c>
      <c r="Q14" s="14">
        <v>215</v>
      </c>
      <c r="R14" s="14"/>
      <c r="S14" s="15">
        <v>2</v>
      </c>
      <c r="T14" s="12" t="s">
        <v>128</v>
      </c>
      <c r="U14" s="12" t="s">
        <v>129</v>
      </c>
      <c r="V14" s="12" t="s">
        <v>130</v>
      </c>
      <c r="W14" s="12" t="s">
        <v>131</v>
      </c>
      <c r="X14" s="12" t="s">
        <v>132</v>
      </c>
      <c r="Y14" s="12" t="s">
        <v>133</v>
      </c>
      <c r="Z14" s="12" t="s">
        <v>134</v>
      </c>
      <c r="AA14" s="11">
        <v>0</v>
      </c>
      <c r="AB14" s="11">
        <v>0</v>
      </c>
      <c r="AC14" s="11">
        <v>0</v>
      </c>
      <c r="AD14" s="11">
        <v>0</v>
      </c>
      <c r="AE14" s="12" t="s">
        <v>135</v>
      </c>
      <c r="AF14" s="16" t="s">
        <v>136</v>
      </c>
      <c r="AG14" s="12" t="s">
        <v>137</v>
      </c>
      <c r="AH14" s="12"/>
      <c r="AI14" s="12"/>
      <c r="AJ14" s="12"/>
      <c r="AK14" s="12" t="s">
        <v>138</v>
      </c>
      <c r="AL14" s="12" t="s">
        <v>139</v>
      </c>
      <c r="AM14" s="14"/>
      <c r="AN14" s="14"/>
      <c r="AO14" s="14"/>
      <c r="AP14" s="14"/>
      <c r="AQ14" s="17">
        <f>IFERROR(IF(F14="dc_dc_coupled_unit","",ROUND(VLOOKUP(F14,字段说明与价格推导!$A$31:$F$35,3,0)*VLOOKUP(AF14,字段说明与价格推导!$H$31:$N$34,2,0)*(1+0.03*K14+0.02*AA14+0.01*AB14+0.01*AC14+0.01*M14+0.01*N14),0)),"")</f>
        <v>760</v>
      </c>
      <c r="AR14" s="17">
        <f>IFERROR(ROUND(VLOOKUP(F14,字段说明与价格推导!$A$31:$F$35,4,0)*VLOOKUP(AF14,字段说明与价格推导!$H$31:$N$34,3,0)*(1+0.04*K14)*IF(L14=1,0.92,1),0),"")</f>
        <v>260</v>
      </c>
      <c r="AS14" s="18">
        <f>IFERROR(ROUND(VLOOKUP(F14,字段说明与价格推导!$A$31:$F$35,5,0)+IF(H14="medium",0.02,IF(H14="low",0.04,0)),3),"")</f>
        <v>0.08</v>
      </c>
      <c r="AT14" s="18">
        <f>IFERROR(ROUND(VLOOKUP(F14,字段说明与价格推导!$A$31:$F$35,6,0)+IF(AA14=1,0.008,0)+IF(AB14=1,0.005,0)+IF(AC14=1,0.005,0),3),"")</f>
        <v>2.5000000000000001E-2</v>
      </c>
      <c r="AU14" s="18">
        <f>IFERROR(VLOOKUP(AF14,字段说明与价格推导!$H$31:$N$34,4,0),"")</f>
        <v>5.0000000000000001E-3</v>
      </c>
      <c r="AV14" s="18">
        <f>IFERROR(VLOOKUP(AF14,字段说明与价格推导!$H$31:$N$34,5,0),"")</f>
        <v>0.01</v>
      </c>
      <c r="AW14" s="18">
        <f>IFERROR(VLOOKUP(AF14,字段说明与价格推导!$H$31:$N$34,6,0),"")</f>
        <v>2.5000000000000001E-3</v>
      </c>
      <c r="AX14" s="6" t="str">
        <f t="shared" ref="AX14:AX28" si="0">IF(AND(AQ14&lt;&gt;"",AR14&lt;&gt;""),"推导估算","需人工复核")</f>
        <v>推导估算</v>
      </c>
      <c r="AY14" s="7" t="s">
        <v>140</v>
      </c>
      <c r="AZ14" s="12" t="s">
        <v>141</v>
      </c>
    </row>
    <row r="15" spans="1:52" s="3" customFormat="1" ht="34" customHeight="1" x14ac:dyDescent="0.35">
      <c r="A15" s="11">
        <v>1</v>
      </c>
      <c r="B15" s="12" t="s">
        <v>119</v>
      </c>
      <c r="C15" s="12" t="s">
        <v>142</v>
      </c>
      <c r="D15" s="12" t="s">
        <v>143</v>
      </c>
      <c r="E15" s="12" t="s">
        <v>122</v>
      </c>
      <c r="F15" s="13" t="s">
        <v>123</v>
      </c>
      <c r="G15" s="12" t="s">
        <v>124</v>
      </c>
      <c r="H15" s="12" t="s">
        <v>125</v>
      </c>
      <c r="I15" s="11">
        <v>1</v>
      </c>
      <c r="J15" s="12" t="s">
        <v>126</v>
      </c>
      <c r="K15" s="11">
        <v>0</v>
      </c>
      <c r="L15" s="11">
        <v>0</v>
      </c>
      <c r="M15" s="11">
        <v>0</v>
      </c>
      <c r="N15" s="11">
        <v>0</v>
      </c>
      <c r="O15" s="12" t="s">
        <v>127</v>
      </c>
      <c r="P15" s="14">
        <v>125</v>
      </c>
      <c r="Q15" s="14">
        <v>229</v>
      </c>
      <c r="R15" s="14"/>
      <c r="S15" s="15">
        <v>2</v>
      </c>
      <c r="T15" s="12" t="s">
        <v>144</v>
      </c>
      <c r="U15" s="12" t="s">
        <v>129</v>
      </c>
      <c r="V15" s="12" t="s">
        <v>145</v>
      </c>
      <c r="W15" s="12" t="s">
        <v>131</v>
      </c>
      <c r="X15" s="12" t="s">
        <v>132</v>
      </c>
      <c r="Y15" s="12" t="s">
        <v>133</v>
      </c>
      <c r="Z15" s="12" t="s">
        <v>134</v>
      </c>
      <c r="AA15" s="11">
        <v>0</v>
      </c>
      <c r="AB15" s="11">
        <v>0</v>
      </c>
      <c r="AC15" s="11">
        <v>0</v>
      </c>
      <c r="AD15" s="11">
        <v>0</v>
      </c>
      <c r="AE15" s="12" t="s">
        <v>135</v>
      </c>
      <c r="AF15" s="16" t="s">
        <v>136</v>
      </c>
      <c r="AG15" s="12" t="s">
        <v>146</v>
      </c>
      <c r="AH15" s="12"/>
      <c r="AI15" s="12"/>
      <c r="AJ15" s="12"/>
      <c r="AK15" s="12" t="s">
        <v>138</v>
      </c>
      <c r="AL15" s="12" t="s">
        <v>139</v>
      </c>
      <c r="AM15" s="14"/>
      <c r="AN15" s="14"/>
      <c r="AO15" s="14"/>
      <c r="AP15" s="14"/>
      <c r="AQ15" s="17">
        <f>IFERROR(IF(F15="dc_dc_coupled_unit","",ROUND(VLOOKUP(F15,字段说明与价格推导!$A$31:$F$35,3,0)*VLOOKUP(AF15,字段说明与价格推导!$H$31:$N$34,2,0)*(1+0.03*K15+0.02*AA15+0.01*AB15+0.01*AC15+0.01*M15+0.01*N15),0)),"")</f>
        <v>760</v>
      </c>
      <c r="AR15" s="17">
        <f>IFERROR(ROUND(VLOOKUP(F15,字段说明与价格推导!$A$31:$F$35,4,0)*VLOOKUP(AF15,字段说明与价格推导!$H$31:$N$34,3,0)*(1+0.04*K15)*IF(L15=1,0.92,1),0),"")</f>
        <v>260</v>
      </c>
      <c r="AS15" s="18">
        <f>IFERROR(ROUND(VLOOKUP(F15,字段说明与价格推导!$A$31:$F$35,5,0)+IF(H15="medium",0.02,IF(H15="low",0.04,0)),3),"")</f>
        <v>0.08</v>
      </c>
      <c r="AT15" s="18">
        <f>IFERROR(ROUND(VLOOKUP(F15,字段说明与价格推导!$A$31:$F$35,6,0)+IF(AA15=1,0.008,0)+IF(AB15=1,0.005,0)+IF(AC15=1,0.005,0),3),"")</f>
        <v>2.5000000000000001E-2</v>
      </c>
      <c r="AU15" s="18">
        <f>IFERROR(VLOOKUP(AF15,字段说明与价格推导!$H$31:$N$34,4,0),"")</f>
        <v>5.0000000000000001E-3</v>
      </c>
      <c r="AV15" s="18">
        <f>IFERROR(VLOOKUP(AF15,字段说明与价格推导!$H$31:$N$34,5,0),"")</f>
        <v>0.01</v>
      </c>
      <c r="AW15" s="18">
        <f>IFERROR(VLOOKUP(AF15,字段说明与价格推导!$H$31:$N$34,6,0),"")</f>
        <v>2.5000000000000001E-3</v>
      </c>
      <c r="AX15" s="6" t="str">
        <f t="shared" si="0"/>
        <v>推导估算</v>
      </c>
      <c r="AY15" s="7" t="s">
        <v>140</v>
      </c>
      <c r="AZ15" s="12" t="s">
        <v>141</v>
      </c>
    </row>
    <row r="16" spans="1:52" s="3" customFormat="1" ht="34" customHeight="1" x14ac:dyDescent="0.35">
      <c r="A16" s="11">
        <v>1</v>
      </c>
      <c r="B16" s="12" t="s">
        <v>119</v>
      </c>
      <c r="C16" s="12" t="s">
        <v>147</v>
      </c>
      <c r="D16" s="12" t="s">
        <v>148</v>
      </c>
      <c r="E16" s="12" t="s">
        <v>122</v>
      </c>
      <c r="F16" s="13" t="s">
        <v>123</v>
      </c>
      <c r="G16" s="12" t="s">
        <v>124</v>
      </c>
      <c r="H16" s="12" t="s">
        <v>125</v>
      </c>
      <c r="I16" s="11">
        <v>1</v>
      </c>
      <c r="J16" s="12" t="s">
        <v>14</v>
      </c>
      <c r="K16" s="11">
        <v>0</v>
      </c>
      <c r="L16" s="11">
        <v>0</v>
      </c>
      <c r="M16" s="11">
        <v>1</v>
      </c>
      <c r="N16" s="11">
        <v>1</v>
      </c>
      <c r="O16" s="12" t="s">
        <v>127</v>
      </c>
      <c r="P16" s="14">
        <v>125</v>
      </c>
      <c r="Q16" s="14">
        <v>257</v>
      </c>
      <c r="R16" s="14"/>
      <c r="S16" s="15">
        <v>2</v>
      </c>
      <c r="T16" s="12" t="s">
        <v>144</v>
      </c>
      <c r="U16" s="12" t="s">
        <v>149</v>
      </c>
      <c r="V16" s="12" t="s">
        <v>145</v>
      </c>
      <c r="W16" s="12" t="s">
        <v>150</v>
      </c>
      <c r="X16" s="12" t="s">
        <v>132</v>
      </c>
      <c r="Y16" s="12" t="s">
        <v>151</v>
      </c>
      <c r="Z16" s="12" t="s">
        <v>152</v>
      </c>
      <c r="AA16" s="11">
        <v>0</v>
      </c>
      <c r="AB16" s="11">
        <v>0</v>
      </c>
      <c r="AC16" s="11">
        <v>0</v>
      </c>
      <c r="AD16" s="11">
        <v>0</v>
      </c>
      <c r="AE16" s="12" t="s">
        <v>135</v>
      </c>
      <c r="AF16" s="16" t="s">
        <v>153</v>
      </c>
      <c r="AG16" s="12" t="s">
        <v>154</v>
      </c>
      <c r="AH16" s="12"/>
      <c r="AI16" s="12"/>
      <c r="AJ16" s="12"/>
      <c r="AK16" s="12" t="s">
        <v>138</v>
      </c>
      <c r="AL16" s="12" t="s">
        <v>139</v>
      </c>
      <c r="AM16" s="14"/>
      <c r="AN16" s="14"/>
      <c r="AO16" s="14"/>
      <c r="AP16" s="14"/>
      <c r="AQ16" s="17">
        <f>IFERROR(IF(F16="dc_dc_coupled_unit","",ROUND(VLOOKUP(F16,字段说明与价格推导!$A$31:$F$35,3,0)*VLOOKUP(AF16,字段说明与价格推导!$H$31:$N$34,2,0)*(1+0.03*K16+0.02*AA16+0.01*AB16+0.01*AC16+0.01*M16+0.01*N16),0)),"")</f>
        <v>806</v>
      </c>
      <c r="AR16" s="17">
        <f>IFERROR(ROUND(VLOOKUP(F16,字段说明与价格推导!$A$31:$F$35,4,0)*VLOOKUP(AF16,字段说明与价格推导!$H$31:$N$34,3,0)*(1+0.04*K16)*IF(L16=1,0.92,1),0),"")</f>
        <v>268</v>
      </c>
      <c r="AS16" s="18">
        <f>IFERROR(ROUND(VLOOKUP(F16,字段说明与价格推导!$A$31:$F$35,5,0)+IF(H16="medium",0.02,IF(H16="low",0.04,0)),3),"")</f>
        <v>0.08</v>
      </c>
      <c r="AT16" s="18">
        <f>IFERROR(ROUND(VLOOKUP(F16,字段说明与价格推导!$A$31:$F$35,6,0)+IF(AA16=1,0.008,0)+IF(AB16=1,0.005,0)+IF(AC16=1,0.005,0),3),"")</f>
        <v>2.5000000000000001E-2</v>
      </c>
      <c r="AU16" s="18">
        <f>IFERROR(VLOOKUP(AF16,字段说明与价格推导!$H$31:$N$34,4,0),"")</f>
        <v>6.0000000000000001E-3</v>
      </c>
      <c r="AV16" s="18">
        <f>IFERROR(VLOOKUP(AF16,字段说明与价格推导!$H$31:$N$34,5,0),"")</f>
        <v>1.0999999999999999E-2</v>
      </c>
      <c r="AW16" s="18">
        <f>IFERROR(VLOOKUP(AF16,字段说明与价格推导!$H$31:$N$34,6,0),"")</f>
        <v>3.0000000000000001E-3</v>
      </c>
      <c r="AX16" s="6" t="str">
        <f t="shared" si="0"/>
        <v>推导估算</v>
      </c>
      <c r="AY16" s="7" t="s">
        <v>140</v>
      </c>
      <c r="AZ16" s="12" t="s">
        <v>155</v>
      </c>
    </row>
    <row r="17" spans="1:52" s="3" customFormat="1" ht="34" customHeight="1" x14ac:dyDescent="0.35">
      <c r="A17" s="11">
        <v>1</v>
      </c>
      <c r="B17" s="12" t="s">
        <v>119</v>
      </c>
      <c r="C17" s="12" t="s">
        <v>156</v>
      </c>
      <c r="D17" s="12" t="s">
        <v>157</v>
      </c>
      <c r="E17" s="12" t="s">
        <v>122</v>
      </c>
      <c r="F17" s="13" t="s">
        <v>123</v>
      </c>
      <c r="G17" s="12" t="s">
        <v>124</v>
      </c>
      <c r="H17" s="12" t="s">
        <v>125</v>
      </c>
      <c r="I17" s="11">
        <v>1</v>
      </c>
      <c r="J17" s="12" t="s">
        <v>14</v>
      </c>
      <c r="K17" s="11">
        <v>0</v>
      </c>
      <c r="L17" s="11">
        <v>0</v>
      </c>
      <c r="M17" s="11">
        <v>1</v>
      </c>
      <c r="N17" s="11">
        <v>1</v>
      </c>
      <c r="O17" s="12" t="s">
        <v>127</v>
      </c>
      <c r="P17" s="14">
        <v>250</v>
      </c>
      <c r="Q17" s="14">
        <v>514</v>
      </c>
      <c r="R17" s="14"/>
      <c r="S17" s="15">
        <v>2</v>
      </c>
      <c r="T17" s="12" t="s">
        <v>144</v>
      </c>
      <c r="U17" s="12" t="s">
        <v>149</v>
      </c>
      <c r="V17" s="12" t="s">
        <v>158</v>
      </c>
      <c r="W17" s="12" t="s">
        <v>159</v>
      </c>
      <c r="X17" s="12" t="s">
        <v>132</v>
      </c>
      <c r="Y17" s="12" t="s">
        <v>160</v>
      </c>
      <c r="Z17" s="12" t="s">
        <v>161</v>
      </c>
      <c r="AA17" s="11">
        <v>0</v>
      </c>
      <c r="AB17" s="11">
        <v>0</v>
      </c>
      <c r="AC17" s="11">
        <v>0</v>
      </c>
      <c r="AD17" s="11">
        <v>0</v>
      </c>
      <c r="AE17" s="12" t="s">
        <v>135</v>
      </c>
      <c r="AF17" s="16" t="s">
        <v>162</v>
      </c>
      <c r="AG17" s="12" t="s">
        <v>163</v>
      </c>
      <c r="AH17" s="12"/>
      <c r="AI17" s="12"/>
      <c r="AJ17" s="12"/>
      <c r="AK17" s="12" t="s">
        <v>138</v>
      </c>
      <c r="AL17" s="12" t="s">
        <v>139</v>
      </c>
      <c r="AM17" s="14"/>
      <c r="AN17" s="14"/>
      <c r="AO17" s="14"/>
      <c r="AP17" s="14"/>
      <c r="AQ17" s="17">
        <f>IFERROR(IF(F17="dc_dc_coupled_unit","",ROUND(VLOOKUP(F17,字段说明与价格推导!$A$31:$F$35,3,0)*VLOOKUP(AF17,字段说明与价格推导!$H$31:$N$34,2,0)*(1+0.03*K17+0.02*AA17+0.01*AB17+0.01*AC17+0.01*M17+0.01*N17),0)),"")</f>
        <v>837</v>
      </c>
      <c r="AR17" s="17">
        <f>IFERROR(ROUND(VLOOKUP(F17,字段说明与价格推导!$A$31:$F$35,4,0)*VLOOKUP(AF17,字段说明与价格推导!$H$31:$N$34,3,0)*(1+0.04*K17)*IF(L17=1,0.92,1),0),"")</f>
        <v>276</v>
      </c>
      <c r="AS17" s="18">
        <f>IFERROR(ROUND(VLOOKUP(F17,字段说明与价格推导!$A$31:$F$35,5,0)+IF(H17="medium",0.02,IF(H17="low",0.04,0)),3),"")</f>
        <v>0.08</v>
      </c>
      <c r="AT17" s="18">
        <f>IFERROR(ROUND(VLOOKUP(F17,字段说明与价格推导!$A$31:$F$35,6,0)+IF(AA17=1,0.008,0)+IF(AB17=1,0.005,0)+IF(AC17=1,0.005,0),3),"")</f>
        <v>2.5000000000000001E-2</v>
      </c>
      <c r="AU17" s="18">
        <f>IFERROR(VLOOKUP(AF17,字段说明与价格推导!$H$31:$N$34,4,0),"")</f>
        <v>7.0000000000000001E-3</v>
      </c>
      <c r="AV17" s="18">
        <f>IFERROR(VLOOKUP(AF17,字段说明与价格推导!$H$31:$N$34,5,0),"")</f>
        <v>1.2999999999999999E-2</v>
      </c>
      <c r="AW17" s="18">
        <f>IFERROR(VLOOKUP(AF17,字段说明与价格推导!$H$31:$N$34,6,0),"")</f>
        <v>3.5000000000000001E-3</v>
      </c>
      <c r="AX17" s="6" t="str">
        <f t="shared" si="0"/>
        <v>推导估算</v>
      </c>
      <c r="AY17" s="7" t="s">
        <v>140</v>
      </c>
      <c r="AZ17" s="12" t="s">
        <v>164</v>
      </c>
    </row>
    <row r="18" spans="1:52" s="3" customFormat="1" ht="34" customHeight="1" x14ac:dyDescent="0.35">
      <c r="A18" s="11">
        <v>1</v>
      </c>
      <c r="B18" s="12" t="s">
        <v>119</v>
      </c>
      <c r="C18" s="12" t="s">
        <v>156</v>
      </c>
      <c r="D18" s="12" t="s">
        <v>165</v>
      </c>
      <c r="E18" s="12" t="s">
        <v>122</v>
      </c>
      <c r="F18" s="13" t="s">
        <v>123</v>
      </c>
      <c r="G18" s="12" t="s">
        <v>124</v>
      </c>
      <c r="H18" s="12" t="s">
        <v>125</v>
      </c>
      <c r="I18" s="11">
        <v>1</v>
      </c>
      <c r="J18" s="12" t="s">
        <v>14</v>
      </c>
      <c r="K18" s="11">
        <v>0</v>
      </c>
      <c r="L18" s="11">
        <v>0</v>
      </c>
      <c r="M18" s="11">
        <v>1</v>
      </c>
      <c r="N18" s="11">
        <v>1</v>
      </c>
      <c r="O18" s="12" t="s">
        <v>127</v>
      </c>
      <c r="P18" s="14">
        <v>125</v>
      </c>
      <c r="Q18" s="14">
        <v>514</v>
      </c>
      <c r="R18" s="14"/>
      <c r="S18" s="15">
        <v>4</v>
      </c>
      <c r="T18" s="12" t="s">
        <v>144</v>
      </c>
      <c r="U18" s="12" t="s">
        <v>149</v>
      </c>
      <c r="V18" s="12" t="s">
        <v>158</v>
      </c>
      <c r="W18" s="12" t="s">
        <v>159</v>
      </c>
      <c r="X18" s="12" t="s">
        <v>132</v>
      </c>
      <c r="Y18" s="12" t="s">
        <v>160</v>
      </c>
      <c r="Z18" s="12" t="s">
        <v>161</v>
      </c>
      <c r="AA18" s="11">
        <v>0</v>
      </c>
      <c r="AB18" s="11">
        <v>0</v>
      </c>
      <c r="AC18" s="11">
        <v>0</v>
      </c>
      <c r="AD18" s="11">
        <v>0</v>
      </c>
      <c r="AE18" s="12" t="s">
        <v>135</v>
      </c>
      <c r="AF18" s="16" t="s">
        <v>162</v>
      </c>
      <c r="AG18" s="12" t="s">
        <v>166</v>
      </c>
      <c r="AH18" s="12"/>
      <c r="AI18" s="12"/>
      <c r="AJ18" s="12"/>
      <c r="AK18" s="12" t="s">
        <v>138</v>
      </c>
      <c r="AL18" s="12" t="s">
        <v>139</v>
      </c>
      <c r="AM18" s="14"/>
      <c r="AN18" s="14"/>
      <c r="AO18" s="14"/>
      <c r="AP18" s="14"/>
      <c r="AQ18" s="17">
        <f>IFERROR(IF(F18="dc_dc_coupled_unit","",ROUND(VLOOKUP(F18,字段说明与价格推导!$A$31:$F$35,3,0)*VLOOKUP(AF18,字段说明与价格推导!$H$31:$N$34,2,0)*(1+0.03*K18+0.02*AA18+0.01*AB18+0.01*AC18+0.01*M18+0.01*N18),0)),"")</f>
        <v>837</v>
      </c>
      <c r="AR18" s="17">
        <f>IFERROR(ROUND(VLOOKUP(F18,字段说明与价格推导!$A$31:$F$35,4,0)*VLOOKUP(AF18,字段说明与价格推导!$H$31:$N$34,3,0)*(1+0.04*K18)*IF(L18=1,0.92,1),0),"")</f>
        <v>276</v>
      </c>
      <c r="AS18" s="18">
        <f>IFERROR(ROUND(VLOOKUP(F18,字段说明与价格推导!$A$31:$F$35,5,0)+IF(H18="medium",0.02,IF(H18="low",0.04,0)),3),"")</f>
        <v>0.08</v>
      </c>
      <c r="AT18" s="18">
        <f>IFERROR(ROUND(VLOOKUP(F18,字段说明与价格推导!$A$31:$F$35,6,0)+IF(AA18=1,0.008,0)+IF(AB18=1,0.005,0)+IF(AC18=1,0.005,0),3),"")</f>
        <v>2.5000000000000001E-2</v>
      </c>
      <c r="AU18" s="18">
        <f>IFERROR(VLOOKUP(AF18,字段说明与价格推导!$H$31:$N$34,4,0),"")</f>
        <v>7.0000000000000001E-3</v>
      </c>
      <c r="AV18" s="18">
        <f>IFERROR(VLOOKUP(AF18,字段说明与价格推导!$H$31:$N$34,5,0),"")</f>
        <v>1.2999999999999999E-2</v>
      </c>
      <c r="AW18" s="18">
        <f>IFERROR(VLOOKUP(AF18,字段说明与价格推导!$H$31:$N$34,6,0),"")</f>
        <v>3.5000000000000001E-3</v>
      </c>
      <c r="AX18" s="6" t="str">
        <f t="shared" si="0"/>
        <v>推导估算</v>
      </c>
      <c r="AY18" s="7" t="s">
        <v>140</v>
      </c>
      <c r="AZ18" s="12" t="s">
        <v>167</v>
      </c>
    </row>
    <row r="19" spans="1:52" s="3" customFormat="1" ht="34" customHeight="1" x14ac:dyDescent="0.35">
      <c r="A19" s="11">
        <v>1</v>
      </c>
      <c r="B19" s="12" t="s">
        <v>119</v>
      </c>
      <c r="C19" s="12" t="s">
        <v>168</v>
      </c>
      <c r="D19" s="12" t="s">
        <v>169</v>
      </c>
      <c r="E19" s="12" t="s">
        <v>170</v>
      </c>
      <c r="F19" s="13" t="s">
        <v>123</v>
      </c>
      <c r="G19" s="12" t="s">
        <v>171</v>
      </c>
      <c r="H19" s="12" t="s">
        <v>172</v>
      </c>
      <c r="I19" s="11">
        <v>0</v>
      </c>
      <c r="J19" s="12" t="s">
        <v>173</v>
      </c>
      <c r="K19" s="11">
        <v>0</v>
      </c>
      <c r="L19" s="11">
        <v>0</v>
      </c>
      <c r="M19" s="11">
        <v>1</v>
      </c>
      <c r="N19" s="11">
        <v>1</v>
      </c>
      <c r="O19" s="12" t="s">
        <v>127</v>
      </c>
      <c r="P19" s="14">
        <v>420</v>
      </c>
      <c r="Q19" s="14">
        <v>836</v>
      </c>
      <c r="R19" s="14"/>
      <c r="S19" s="15">
        <v>2</v>
      </c>
      <c r="T19" s="12" t="s">
        <v>174</v>
      </c>
      <c r="U19" s="12" t="s">
        <v>175</v>
      </c>
      <c r="V19" s="12" t="s">
        <v>176</v>
      </c>
      <c r="W19" s="12" t="s">
        <v>177</v>
      </c>
      <c r="X19" s="12" t="s">
        <v>178</v>
      </c>
      <c r="Y19" s="12" t="s">
        <v>179</v>
      </c>
      <c r="Z19" s="12" t="s">
        <v>180</v>
      </c>
      <c r="AA19" s="11">
        <v>1</v>
      </c>
      <c r="AB19" s="11">
        <v>1</v>
      </c>
      <c r="AC19" s="11">
        <v>1</v>
      </c>
      <c r="AD19" s="11">
        <v>1</v>
      </c>
      <c r="AE19" s="12" t="s">
        <v>181</v>
      </c>
      <c r="AF19" s="16" t="s">
        <v>182</v>
      </c>
      <c r="AG19" s="12" t="s">
        <v>183</v>
      </c>
      <c r="AH19" s="12"/>
      <c r="AI19" s="12"/>
      <c r="AJ19" s="12"/>
      <c r="AK19" s="12" t="s">
        <v>184</v>
      </c>
      <c r="AL19" s="12" t="s">
        <v>139</v>
      </c>
      <c r="AM19" s="14"/>
      <c r="AN19" s="14"/>
      <c r="AO19" s="14"/>
      <c r="AP19" s="14"/>
      <c r="AQ19" s="17">
        <f>IFERROR(IF(F19="dc_dc_coupled_unit","",ROUND(VLOOKUP(F19,字段说明与价格推导!$A$31:$F$35,3,0)*VLOOKUP(AF19,字段说明与价格推导!$H$31:$N$34,2,0)*(1+0.03*K19+0.02*AA19+0.01*AB19+0.01*AC19+0.01*M19+0.01*N19),0)),"")</f>
        <v>902</v>
      </c>
      <c r="AR19" s="17">
        <f>IFERROR(ROUND(VLOOKUP(F19,字段说明与价格推导!$A$31:$F$35,4,0)*VLOOKUP(AF19,字段说明与价格推导!$H$31:$N$34,3,0)*(1+0.04*K19)*IF(L19=1,0.92,1),0),"")</f>
        <v>286</v>
      </c>
      <c r="AS19" s="18">
        <f>IFERROR(ROUND(VLOOKUP(F19,字段说明与价格推导!$A$31:$F$35,5,0)+IF(H19="medium",0.02,IF(H19="low",0.04,0)),3),"")</f>
        <v>0.1</v>
      </c>
      <c r="AT19" s="18">
        <f>IFERROR(ROUND(VLOOKUP(F19,字段说明与价格推导!$A$31:$F$35,6,0)+IF(AA19=1,0.008,0)+IF(AB19=1,0.005,0)+IF(AC19=1,0.005,0),3),"")</f>
        <v>4.2999999999999997E-2</v>
      </c>
      <c r="AU19" s="18">
        <f>IFERROR(VLOOKUP(AF19,字段说明与价格推导!$H$31:$N$34,4,0),"")</f>
        <v>8.0000000000000002E-3</v>
      </c>
      <c r="AV19" s="18">
        <f>IFERROR(VLOOKUP(AF19,字段说明与价格推导!$H$31:$N$34,5,0),"")</f>
        <v>1.4999999999999999E-2</v>
      </c>
      <c r="AW19" s="18">
        <f>IFERROR(VLOOKUP(AF19,字段说明与价格推导!$H$31:$N$34,6,0),"")</f>
        <v>4.0000000000000001E-3</v>
      </c>
      <c r="AX19" s="6" t="str">
        <f t="shared" si="0"/>
        <v>推导估算</v>
      </c>
      <c r="AY19" s="7" t="s">
        <v>140</v>
      </c>
      <c r="AZ19" s="12" t="s">
        <v>185</v>
      </c>
    </row>
    <row r="20" spans="1:52" s="3" customFormat="1" ht="34" customHeight="1" x14ac:dyDescent="0.35">
      <c r="A20" s="11">
        <v>1</v>
      </c>
      <c r="B20" s="12" t="s">
        <v>119</v>
      </c>
      <c r="C20" s="12" t="s">
        <v>168</v>
      </c>
      <c r="D20" s="12" t="s">
        <v>186</v>
      </c>
      <c r="E20" s="12" t="s">
        <v>170</v>
      </c>
      <c r="F20" s="13" t="s">
        <v>123</v>
      </c>
      <c r="G20" s="12" t="s">
        <v>171</v>
      </c>
      <c r="H20" s="12" t="s">
        <v>172</v>
      </c>
      <c r="I20" s="11">
        <v>0</v>
      </c>
      <c r="J20" s="12" t="s">
        <v>173</v>
      </c>
      <c r="K20" s="11">
        <v>0</v>
      </c>
      <c r="L20" s="11">
        <v>0</v>
      </c>
      <c r="M20" s="11">
        <v>1</v>
      </c>
      <c r="N20" s="11">
        <v>1</v>
      </c>
      <c r="O20" s="12" t="s">
        <v>127</v>
      </c>
      <c r="P20" s="14">
        <v>210</v>
      </c>
      <c r="Q20" s="14">
        <v>836</v>
      </c>
      <c r="R20" s="14"/>
      <c r="S20" s="15">
        <v>4</v>
      </c>
      <c r="T20" s="12" t="s">
        <v>174</v>
      </c>
      <c r="U20" s="12" t="s">
        <v>175</v>
      </c>
      <c r="V20" s="12" t="s">
        <v>176</v>
      </c>
      <c r="W20" s="12" t="s">
        <v>177</v>
      </c>
      <c r="X20" s="12" t="s">
        <v>178</v>
      </c>
      <c r="Y20" s="12" t="s">
        <v>179</v>
      </c>
      <c r="Z20" s="12" t="s">
        <v>180</v>
      </c>
      <c r="AA20" s="11">
        <v>1</v>
      </c>
      <c r="AB20" s="11">
        <v>1</v>
      </c>
      <c r="AC20" s="11">
        <v>1</v>
      </c>
      <c r="AD20" s="11">
        <v>1</v>
      </c>
      <c r="AE20" s="12" t="s">
        <v>181</v>
      </c>
      <c r="AF20" s="16" t="s">
        <v>182</v>
      </c>
      <c r="AG20" s="12" t="s">
        <v>183</v>
      </c>
      <c r="AH20" s="12"/>
      <c r="AI20" s="12"/>
      <c r="AJ20" s="12"/>
      <c r="AK20" s="12" t="s">
        <v>184</v>
      </c>
      <c r="AL20" s="12" t="s">
        <v>139</v>
      </c>
      <c r="AM20" s="14"/>
      <c r="AN20" s="14"/>
      <c r="AO20" s="14"/>
      <c r="AP20" s="14"/>
      <c r="AQ20" s="17">
        <f>IFERROR(IF(F20="dc_dc_coupled_unit","",ROUND(VLOOKUP(F20,字段说明与价格推导!$A$31:$F$35,3,0)*VLOOKUP(AF20,字段说明与价格推导!$H$31:$N$34,2,0)*(1+0.03*K20+0.02*AA20+0.01*AB20+0.01*AC20+0.01*M20+0.01*N20),0)),"")</f>
        <v>902</v>
      </c>
      <c r="AR20" s="17">
        <f>IFERROR(ROUND(VLOOKUP(F20,字段说明与价格推导!$A$31:$F$35,4,0)*VLOOKUP(AF20,字段说明与价格推导!$H$31:$N$34,3,0)*(1+0.04*K20)*IF(L20=1,0.92,1),0),"")</f>
        <v>286</v>
      </c>
      <c r="AS20" s="18">
        <f>IFERROR(ROUND(VLOOKUP(F20,字段说明与价格推导!$A$31:$F$35,5,0)+IF(H20="medium",0.02,IF(H20="low",0.04,0)),3),"")</f>
        <v>0.1</v>
      </c>
      <c r="AT20" s="18">
        <f>IFERROR(ROUND(VLOOKUP(F20,字段说明与价格推导!$A$31:$F$35,6,0)+IF(AA20=1,0.008,0)+IF(AB20=1,0.005,0)+IF(AC20=1,0.005,0),3),"")</f>
        <v>4.2999999999999997E-2</v>
      </c>
      <c r="AU20" s="18">
        <f>IFERROR(VLOOKUP(AF20,字段说明与价格推导!$H$31:$N$34,4,0),"")</f>
        <v>8.0000000000000002E-3</v>
      </c>
      <c r="AV20" s="18">
        <f>IFERROR(VLOOKUP(AF20,字段说明与价格推导!$H$31:$N$34,5,0),"")</f>
        <v>1.4999999999999999E-2</v>
      </c>
      <c r="AW20" s="18">
        <f>IFERROR(VLOOKUP(AF20,字段说明与价格推导!$H$31:$N$34,6,0),"")</f>
        <v>4.0000000000000001E-3</v>
      </c>
      <c r="AX20" s="6" t="str">
        <f t="shared" si="0"/>
        <v>推导估算</v>
      </c>
      <c r="AY20" s="7" t="s">
        <v>140</v>
      </c>
      <c r="AZ20" s="12" t="s">
        <v>185</v>
      </c>
    </row>
    <row r="21" spans="1:52" s="3" customFormat="1" ht="34" customHeight="1" x14ac:dyDescent="0.35">
      <c r="A21" s="11">
        <v>1</v>
      </c>
      <c r="B21" s="12" t="s">
        <v>187</v>
      </c>
      <c r="C21" s="12" t="s">
        <v>188</v>
      </c>
      <c r="D21" s="12" t="s">
        <v>189</v>
      </c>
      <c r="E21" s="12" t="s">
        <v>190</v>
      </c>
      <c r="F21" s="13" t="s">
        <v>123</v>
      </c>
      <c r="G21" s="12" t="s">
        <v>124</v>
      </c>
      <c r="H21" s="12" t="s">
        <v>125</v>
      </c>
      <c r="I21" s="11">
        <v>1</v>
      </c>
      <c r="J21" s="12" t="s">
        <v>191</v>
      </c>
      <c r="K21" s="11">
        <v>1</v>
      </c>
      <c r="L21" s="11">
        <v>0</v>
      </c>
      <c r="M21" s="11">
        <v>1</v>
      </c>
      <c r="N21" s="11">
        <v>1</v>
      </c>
      <c r="O21" s="12" t="s">
        <v>127</v>
      </c>
      <c r="P21" s="14">
        <v>125</v>
      </c>
      <c r="Q21" s="14">
        <v>233</v>
      </c>
      <c r="R21" s="14">
        <v>233</v>
      </c>
      <c r="S21" s="15">
        <v>1.8640000000000001</v>
      </c>
      <c r="T21" s="12" t="s">
        <v>192</v>
      </c>
      <c r="U21" s="12" t="s">
        <v>149</v>
      </c>
      <c r="V21" s="12" t="s">
        <v>193</v>
      </c>
      <c r="W21" s="12" t="s">
        <v>194</v>
      </c>
      <c r="X21" s="12" t="s">
        <v>195</v>
      </c>
      <c r="Y21" s="12" t="s">
        <v>196</v>
      </c>
      <c r="Z21" s="12" t="s">
        <v>197</v>
      </c>
      <c r="AA21" s="11">
        <v>0</v>
      </c>
      <c r="AB21" s="11">
        <v>1</v>
      </c>
      <c r="AC21" s="11">
        <v>0</v>
      </c>
      <c r="AD21" s="11" t="s">
        <v>198</v>
      </c>
      <c r="AE21" s="12" t="s">
        <v>199</v>
      </c>
      <c r="AF21" s="16" t="s">
        <v>162</v>
      </c>
      <c r="AG21" s="12" t="s">
        <v>200</v>
      </c>
      <c r="AH21" s="12" t="s">
        <v>201</v>
      </c>
      <c r="AI21" s="12" t="s">
        <v>202</v>
      </c>
      <c r="AJ21" s="12" t="s">
        <v>203</v>
      </c>
      <c r="AK21" s="12" t="s">
        <v>204</v>
      </c>
      <c r="AL21" s="12" t="s">
        <v>205</v>
      </c>
      <c r="AM21" s="14">
        <v>1258</v>
      </c>
      <c r="AN21" s="14">
        <v>1680</v>
      </c>
      <c r="AO21" s="14">
        <v>2240</v>
      </c>
      <c r="AP21" s="14">
        <v>3500</v>
      </c>
      <c r="AQ21" s="17">
        <f>IFERROR(IF(F21="dc_dc_coupled_unit","",ROUND(VLOOKUP(F21,字段说明与价格推导!$A$31:$F$35,3,0)*VLOOKUP(AF21,字段说明与价格推导!$H$31:$N$34,2,0)*(1+0.03*K21+0.02*AA21+0.01*AB21+0.01*AC21+0.01*M21+0.01*N21),0)),"")</f>
        <v>870</v>
      </c>
      <c r="AR21" s="17">
        <f>IFERROR(ROUND(VLOOKUP(F21,字段说明与价格推导!$A$31:$F$35,4,0)*VLOOKUP(AF21,字段说明与价格推导!$H$31:$N$34,3,0)*(1+0.04*K21)*IF(L21=1,0.92,1),0),"")</f>
        <v>287</v>
      </c>
      <c r="AS21" s="18">
        <f>IFERROR(ROUND(VLOOKUP(F21,字段说明与价格推导!$A$31:$F$35,5,0)+IF(H21="medium",0.02,IF(H21="low",0.04,0)),3),"")</f>
        <v>0.08</v>
      </c>
      <c r="AT21" s="18">
        <f>IFERROR(ROUND(VLOOKUP(F21,字段说明与价格推导!$A$31:$F$35,6,0)+IF(AA21=1,0.008,0)+IF(AB21=1,0.005,0)+IF(AC21=1,0.005,0),3),"")</f>
        <v>0.03</v>
      </c>
      <c r="AU21" s="18">
        <f>IFERROR(VLOOKUP(AF21,字段说明与价格推导!$H$31:$N$34,4,0),"")</f>
        <v>7.0000000000000001E-3</v>
      </c>
      <c r="AV21" s="18">
        <f>IFERROR(VLOOKUP(AF21,字段说明与价格推导!$H$31:$N$34,5,0),"")</f>
        <v>1.2999999999999999E-2</v>
      </c>
      <c r="AW21" s="18">
        <f>IFERROR(VLOOKUP(AF21,字段说明与价格推导!$H$31:$N$34,6,0),"")</f>
        <v>3.5000000000000001E-3</v>
      </c>
      <c r="AX21" s="6" t="str">
        <f t="shared" si="0"/>
        <v>推导估算</v>
      </c>
      <c r="AY21" s="7" t="s">
        <v>140</v>
      </c>
      <c r="AZ21" s="12" t="s">
        <v>206</v>
      </c>
    </row>
    <row r="22" spans="1:52" s="3" customFormat="1" ht="34" customHeight="1" x14ac:dyDescent="0.35">
      <c r="A22" s="11">
        <v>1</v>
      </c>
      <c r="B22" s="12" t="s">
        <v>187</v>
      </c>
      <c r="C22" s="12" t="s">
        <v>207</v>
      </c>
      <c r="D22" s="12" t="s">
        <v>208</v>
      </c>
      <c r="E22" s="12" t="s">
        <v>209</v>
      </c>
      <c r="F22" s="13" t="s">
        <v>210</v>
      </c>
      <c r="G22" s="12" t="s">
        <v>211</v>
      </c>
      <c r="H22" s="12" t="s">
        <v>172</v>
      </c>
      <c r="I22" s="11">
        <v>0</v>
      </c>
      <c r="J22" s="12" t="s">
        <v>212</v>
      </c>
      <c r="K22" s="11">
        <v>0</v>
      </c>
      <c r="L22" s="11">
        <v>1</v>
      </c>
      <c r="M22" s="11">
        <v>0</v>
      </c>
      <c r="N22" s="11">
        <v>0</v>
      </c>
      <c r="O22" s="12" t="s">
        <v>127</v>
      </c>
      <c r="P22" s="14">
        <v>1002</v>
      </c>
      <c r="Q22" s="14">
        <v>2004</v>
      </c>
      <c r="R22" s="14">
        <v>2004</v>
      </c>
      <c r="S22" s="15">
        <v>2</v>
      </c>
      <c r="T22" s="12" t="s">
        <v>213</v>
      </c>
      <c r="U22" s="12" t="s">
        <v>214</v>
      </c>
      <c r="V22" s="12" t="s">
        <v>215</v>
      </c>
      <c r="W22" s="12" t="s">
        <v>216</v>
      </c>
      <c r="X22" s="12" t="s">
        <v>217</v>
      </c>
      <c r="Y22" s="12" t="s">
        <v>218</v>
      </c>
      <c r="Z22" s="12" t="s">
        <v>219</v>
      </c>
      <c r="AA22" s="11">
        <v>0</v>
      </c>
      <c r="AB22" s="11">
        <v>0</v>
      </c>
      <c r="AC22" s="11">
        <v>0</v>
      </c>
      <c r="AD22" s="11" t="s">
        <v>220</v>
      </c>
      <c r="AE22" s="12" t="s">
        <v>221</v>
      </c>
      <c r="AF22" s="16" t="s">
        <v>182</v>
      </c>
      <c r="AG22" s="12" t="s">
        <v>222</v>
      </c>
      <c r="AH22" s="12">
        <v>93</v>
      </c>
      <c r="AI22" s="12" t="s">
        <v>202</v>
      </c>
      <c r="AJ22" s="12" t="s">
        <v>203</v>
      </c>
      <c r="AK22" s="12" t="s">
        <v>223</v>
      </c>
      <c r="AL22" s="12" t="s">
        <v>224</v>
      </c>
      <c r="AM22" s="14">
        <v>7490</v>
      </c>
      <c r="AN22" s="14">
        <v>1279</v>
      </c>
      <c r="AO22" s="14">
        <v>2790</v>
      </c>
      <c r="AP22" s="14">
        <v>19120</v>
      </c>
      <c r="AQ22" s="17">
        <f>IFERROR(IF(F22="dc_dc_coupled_unit","",ROUND(VLOOKUP(F22,字段说明与价格推导!$A$31:$F$35,3,0)*VLOOKUP(AF22,字段说明与价格推导!$H$31:$N$34,2,0)*(1+0.03*K22+0.02*AA22+0.01*AB22+0.01*AC22+0.01*M22+0.01*N22),0)),"")</f>
        <v>694</v>
      </c>
      <c r="AR22" s="17">
        <f>IFERROR(ROUND(VLOOKUP(F22,字段说明与价格推导!$A$31:$F$35,4,0)*VLOOKUP(AF22,字段说明与价格推导!$H$31:$N$34,3,0)*(1+0.04*K22)*IF(L22=1,0.92,1),0),"")</f>
        <v>121</v>
      </c>
      <c r="AS22" s="18">
        <f>IFERROR(ROUND(VLOOKUP(F22,字段说明与价格推导!$A$31:$F$35,5,0)+IF(H22="medium",0.02,IF(H22="low",0.04,0)),3),"")</f>
        <v>0.14000000000000001</v>
      </c>
      <c r="AT22" s="18">
        <f>IFERROR(ROUND(VLOOKUP(F22,字段说明与价格推导!$A$31:$F$35,6,0)+IF(AA22=1,0.008,0)+IF(AB22=1,0.005,0)+IF(AC22=1,0.005,0),3),"")</f>
        <v>0.03</v>
      </c>
      <c r="AU22" s="18">
        <f>IFERROR(VLOOKUP(AF22,字段说明与价格推导!$H$31:$N$34,4,0),"")</f>
        <v>8.0000000000000002E-3</v>
      </c>
      <c r="AV22" s="18">
        <f>IFERROR(VLOOKUP(AF22,字段说明与价格推导!$H$31:$N$34,5,0),"")</f>
        <v>1.4999999999999999E-2</v>
      </c>
      <c r="AW22" s="18">
        <f>IFERROR(VLOOKUP(AF22,字段说明与价格推导!$H$31:$N$34,6,0),"")</f>
        <v>4.0000000000000001E-3</v>
      </c>
      <c r="AX22" s="6" t="str">
        <f t="shared" si="0"/>
        <v>推导估算</v>
      </c>
      <c r="AY22" s="7" t="s">
        <v>140</v>
      </c>
      <c r="AZ22" s="12" t="s">
        <v>225</v>
      </c>
    </row>
    <row r="23" spans="1:52" s="3" customFormat="1" ht="34" customHeight="1" x14ac:dyDescent="0.35">
      <c r="A23" s="11">
        <v>1</v>
      </c>
      <c r="B23" s="12" t="s">
        <v>187</v>
      </c>
      <c r="C23" s="12" t="s">
        <v>207</v>
      </c>
      <c r="D23" s="12" t="s">
        <v>226</v>
      </c>
      <c r="E23" s="12" t="s">
        <v>209</v>
      </c>
      <c r="F23" s="13" t="s">
        <v>210</v>
      </c>
      <c r="G23" s="12" t="s">
        <v>211</v>
      </c>
      <c r="H23" s="12" t="s">
        <v>172</v>
      </c>
      <c r="I23" s="11">
        <v>0</v>
      </c>
      <c r="J23" s="12" t="s">
        <v>212</v>
      </c>
      <c r="K23" s="11">
        <v>0</v>
      </c>
      <c r="L23" s="11">
        <v>1</v>
      </c>
      <c r="M23" s="11">
        <v>0</v>
      </c>
      <c r="N23" s="11">
        <v>0</v>
      </c>
      <c r="O23" s="12" t="s">
        <v>127</v>
      </c>
      <c r="P23" s="14">
        <v>1252.5</v>
      </c>
      <c r="Q23" s="14">
        <v>2505</v>
      </c>
      <c r="R23" s="14">
        <v>2505</v>
      </c>
      <c r="S23" s="15">
        <v>2</v>
      </c>
      <c r="T23" s="12" t="s">
        <v>213</v>
      </c>
      <c r="U23" s="12" t="s">
        <v>214</v>
      </c>
      <c r="V23" s="12" t="s">
        <v>227</v>
      </c>
      <c r="W23" s="12" t="s">
        <v>216</v>
      </c>
      <c r="X23" s="12" t="s">
        <v>217</v>
      </c>
      <c r="Y23" s="12" t="s">
        <v>218</v>
      </c>
      <c r="Z23" s="12" t="s">
        <v>219</v>
      </c>
      <c r="AA23" s="11">
        <v>0</v>
      </c>
      <c r="AB23" s="11">
        <v>0</v>
      </c>
      <c r="AC23" s="11">
        <v>0</v>
      </c>
      <c r="AD23" s="11" t="s">
        <v>220</v>
      </c>
      <c r="AE23" s="12" t="s">
        <v>221</v>
      </c>
      <c r="AF23" s="16" t="s">
        <v>182</v>
      </c>
      <c r="AG23" s="12" t="s">
        <v>228</v>
      </c>
      <c r="AH23" s="12">
        <v>93</v>
      </c>
      <c r="AI23" s="12" t="s">
        <v>202</v>
      </c>
      <c r="AJ23" s="12" t="s">
        <v>203</v>
      </c>
      <c r="AK23" s="12" t="s">
        <v>223</v>
      </c>
      <c r="AL23" s="12" t="s">
        <v>224</v>
      </c>
      <c r="AM23" s="14">
        <v>7490</v>
      </c>
      <c r="AN23" s="14">
        <v>1279</v>
      </c>
      <c r="AO23" s="14">
        <v>2790</v>
      </c>
      <c r="AP23" s="14">
        <v>23150</v>
      </c>
      <c r="AQ23" s="17">
        <f>IFERROR(IF(F23="dc_dc_coupled_unit","",ROUND(VLOOKUP(F23,字段说明与价格推导!$A$31:$F$35,3,0)*VLOOKUP(AF23,字段说明与价格推导!$H$31:$N$34,2,0)*(1+0.03*K23+0.02*AA23+0.01*AB23+0.01*AC23+0.01*M23+0.01*N23),0)),"")</f>
        <v>694</v>
      </c>
      <c r="AR23" s="17">
        <f>IFERROR(ROUND(VLOOKUP(F23,字段说明与价格推导!$A$31:$F$35,4,0)*VLOOKUP(AF23,字段说明与价格推导!$H$31:$N$34,3,0)*(1+0.04*K23)*IF(L23=1,0.92,1),0),"")</f>
        <v>121</v>
      </c>
      <c r="AS23" s="18">
        <f>IFERROR(ROUND(VLOOKUP(F23,字段说明与价格推导!$A$31:$F$35,5,0)+IF(H23="medium",0.02,IF(H23="low",0.04,0)),3),"")</f>
        <v>0.14000000000000001</v>
      </c>
      <c r="AT23" s="18">
        <f>IFERROR(ROUND(VLOOKUP(F23,字段说明与价格推导!$A$31:$F$35,6,0)+IF(AA23=1,0.008,0)+IF(AB23=1,0.005,0)+IF(AC23=1,0.005,0),3),"")</f>
        <v>0.03</v>
      </c>
      <c r="AU23" s="18">
        <f>IFERROR(VLOOKUP(AF23,字段说明与价格推导!$H$31:$N$34,4,0),"")</f>
        <v>8.0000000000000002E-3</v>
      </c>
      <c r="AV23" s="18">
        <f>IFERROR(VLOOKUP(AF23,字段说明与价格推导!$H$31:$N$34,5,0),"")</f>
        <v>1.4999999999999999E-2</v>
      </c>
      <c r="AW23" s="18">
        <f>IFERROR(VLOOKUP(AF23,字段说明与价格推导!$H$31:$N$34,6,0),"")</f>
        <v>4.0000000000000001E-3</v>
      </c>
      <c r="AX23" s="6" t="str">
        <f t="shared" si="0"/>
        <v>推导估算</v>
      </c>
      <c r="AY23" s="7" t="s">
        <v>140</v>
      </c>
      <c r="AZ23" s="12" t="s">
        <v>225</v>
      </c>
    </row>
    <row r="24" spans="1:52" s="3" customFormat="1" ht="34" customHeight="1" x14ac:dyDescent="0.35">
      <c r="A24" s="11">
        <v>1</v>
      </c>
      <c r="B24" s="12" t="s">
        <v>187</v>
      </c>
      <c r="C24" s="12" t="s">
        <v>207</v>
      </c>
      <c r="D24" s="12" t="s">
        <v>229</v>
      </c>
      <c r="E24" s="12" t="s">
        <v>209</v>
      </c>
      <c r="F24" s="13" t="s">
        <v>210</v>
      </c>
      <c r="G24" s="12" t="s">
        <v>211</v>
      </c>
      <c r="H24" s="12" t="s">
        <v>172</v>
      </c>
      <c r="I24" s="11">
        <v>0</v>
      </c>
      <c r="J24" s="12" t="s">
        <v>212</v>
      </c>
      <c r="K24" s="11">
        <v>0</v>
      </c>
      <c r="L24" s="11">
        <v>1</v>
      </c>
      <c r="M24" s="11">
        <v>0</v>
      </c>
      <c r="N24" s="11">
        <v>0</v>
      </c>
      <c r="O24" s="12" t="s">
        <v>127</v>
      </c>
      <c r="P24" s="14">
        <v>1503</v>
      </c>
      <c r="Q24" s="14">
        <v>3006</v>
      </c>
      <c r="R24" s="14">
        <v>3006</v>
      </c>
      <c r="S24" s="15">
        <v>2</v>
      </c>
      <c r="T24" s="12" t="s">
        <v>213</v>
      </c>
      <c r="U24" s="12" t="s">
        <v>214</v>
      </c>
      <c r="V24" s="12" t="s">
        <v>230</v>
      </c>
      <c r="W24" s="12" t="s">
        <v>216</v>
      </c>
      <c r="X24" s="12" t="s">
        <v>217</v>
      </c>
      <c r="Y24" s="12" t="s">
        <v>218</v>
      </c>
      <c r="Z24" s="12" t="s">
        <v>219</v>
      </c>
      <c r="AA24" s="11">
        <v>0</v>
      </c>
      <c r="AB24" s="11">
        <v>0</v>
      </c>
      <c r="AC24" s="11">
        <v>0</v>
      </c>
      <c r="AD24" s="11" t="s">
        <v>220</v>
      </c>
      <c r="AE24" s="12" t="s">
        <v>221</v>
      </c>
      <c r="AF24" s="16" t="s">
        <v>182</v>
      </c>
      <c r="AG24" s="12" t="s">
        <v>231</v>
      </c>
      <c r="AH24" s="12">
        <v>93</v>
      </c>
      <c r="AI24" s="12" t="s">
        <v>202</v>
      </c>
      <c r="AJ24" s="12" t="s">
        <v>203</v>
      </c>
      <c r="AK24" s="12" t="s">
        <v>223</v>
      </c>
      <c r="AL24" s="12" t="s">
        <v>224</v>
      </c>
      <c r="AM24" s="14">
        <v>8628</v>
      </c>
      <c r="AN24" s="14">
        <v>1279</v>
      </c>
      <c r="AO24" s="14">
        <v>2790</v>
      </c>
      <c r="AP24" s="14">
        <v>27180</v>
      </c>
      <c r="AQ24" s="17">
        <f>IFERROR(IF(F24="dc_dc_coupled_unit","",ROUND(VLOOKUP(F24,字段说明与价格推导!$A$31:$F$35,3,0)*VLOOKUP(AF24,字段说明与价格推导!$H$31:$N$34,2,0)*(1+0.03*K24+0.02*AA24+0.01*AB24+0.01*AC24+0.01*M24+0.01*N24),0)),"")</f>
        <v>694</v>
      </c>
      <c r="AR24" s="17">
        <f>IFERROR(ROUND(VLOOKUP(F24,字段说明与价格推导!$A$31:$F$35,4,0)*VLOOKUP(AF24,字段说明与价格推导!$H$31:$N$34,3,0)*(1+0.04*K24)*IF(L24=1,0.92,1),0),"")</f>
        <v>121</v>
      </c>
      <c r="AS24" s="18">
        <f>IFERROR(ROUND(VLOOKUP(F24,字段说明与价格推导!$A$31:$F$35,5,0)+IF(H24="medium",0.02,IF(H24="low",0.04,0)),3),"")</f>
        <v>0.14000000000000001</v>
      </c>
      <c r="AT24" s="18">
        <f>IFERROR(ROUND(VLOOKUP(F24,字段说明与价格推导!$A$31:$F$35,6,0)+IF(AA24=1,0.008,0)+IF(AB24=1,0.005,0)+IF(AC24=1,0.005,0),3),"")</f>
        <v>0.03</v>
      </c>
      <c r="AU24" s="18">
        <f>IFERROR(VLOOKUP(AF24,字段说明与价格推导!$H$31:$N$34,4,0),"")</f>
        <v>8.0000000000000002E-3</v>
      </c>
      <c r="AV24" s="18">
        <f>IFERROR(VLOOKUP(AF24,字段说明与价格推导!$H$31:$N$34,5,0),"")</f>
        <v>1.4999999999999999E-2</v>
      </c>
      <c r="AW24" s="18">
        <f>IFERROR(VLOOKUP(AF24,字段说明与价格推导!$H$31:$N$34,6,0),"")</f>
        <v>4.0000000000000001E-3</v>
      </c>
      <c r="AX24" s="6" t="str">
        <f t="shared" si="0"/>
        <v>推导估算</v>
      </c>
      <c r="AY24" s="7" t="s">
        <v>140</v>
      </c>
      <c r="AZ24" s="12" t="s">
        <v>225</v>
      </c>
    </row>
    <row r="25" spans="1:52" s="3" customFormat="1" ht="34" customHeight="1" x14ac:dyDescent="0.35">
      <c r="A25" s="11">
        <v>1</v>
      </c>
      <c r="B25" s="12" t="s">
        <v>232</v>
      </c>
      <c r="C25" s="12" t="s">
        <v>233</v>
      </c>
      <c r="D25" s="12" t="s">
        <v>233</v>
      </c>
      <c r="E25" s="12" t="s">
        <v>234</v>
      </c>
      <c r="F25" s="13" t="s">
        <v>235</v>
      </c>
      <c r="G25" s="12" t="s">
        <v>236</v>
      </c>
      <c r="H25" s="12" t="s">
        <v>125</v>
      </c>
      <c r="I25" s="11">
        <v>1</v>
      </c>
      <c r="J25" s="12" t="s">
        <v>212</v>
      </c>
      <c r="K25" s="11">
        <v>0</v>
      </c>
      <c r="L25" s="11">
        <v>1</v>
      </c>
      <c r="M25" s="11">
        <v>0</v>
      </c>
      <c r="N25" s="11">
        <v>0</v>
      </c>
      <c r="O25" s="12" t="s">
        <v>127</v>
      </c>
      <c r="P25" s="14"/>
      <c r="Q25" s="14">
        <v>372</v>
      </c>
      <c r="R25" s="14">
        <v>372</v>
      </c>
      <c r="S25" s="15"/>
      <c r="T25" s="12" t="s">
        <v>237</v>
      </c>
      <c r="U25" s="12"/>
      <c r="V25" s="12" t="s">
        <v>238</v>
      </c>
      <c r="W25" s="12" t="s">
        <v>239</v>
      </c>
      <c r="X25" s="12" t="s">
        <v>240</v>
      </c>
      <c r="Y25" s="12" t="s">
        <v>240</v>
      </c>
      <c r="Z25" s="12" t="s">
        <v>241</v>
      </c>
      <c r="AA25" s="11">
        <v>0</v>
      </c>
      <c r="AB25" s="11">
        <v>0</v>
      </c>
      <c r="AC25" s="11">
        <v>0</v>
      </c>
      <c r="AD25" s="11" t="s">
        <v>220</v>
      </c>
      <c r="AE25" s="12" t="s">
        <v>242</v>
      </c>
      <c r="AF25" s="16" t="s">
        <v>182</v>
      </c>
      <c r="AG25" s="12" t="s">
        <v>243</v>
      </c>
      <c r="AH25" s="12"/>
      <c r="AI25" s="12" t="s">
        <v>244</v>
      </c>
      <c r="AJ25" s="12" t="s">
        <v>245</v>
      </c>
      <c r="AK25" s="12" t="s">
        <v>246</v>
      </c>
      <c r="AL25" s="12" t="s">
        <v>139</v>
      </c>
      <c r="AM25" s="14">
        <v>1300</v>
      </c>
      <c r="AN25" s="14">
        <v>1300</v>
      </c>
      <c r="AO25" s="14">
        <v>2280</v>
      </c>
      <c r="AP25" s="14">
        <v>3500</v>
      </c>
      <c r="AQ25" s="17">
        <f>IFERROR(IF(F25="dc_dc_coupled_unit","",ROUND(VLOOKUP(F25,字段说明与价格推导!$A$31:$F$35,3,0)*VLOOKUP(AF25,字段说明与价格推导!$H$31:$N$34,2,0)*(1+0.03*K25+0.02*AA25+0.01*AB25+0.01*AC25+0.01*M25+0.01*N25),0)),"")</f>
        <v>739</v>
      </c>
      <c r="AR25" s="17">
        <f>IFERROR(ROUND(VLOOKUP(F25,字段说明与价格推导!$A$31:$F$35,4,0)*VLOOKUP(AF25,字段说明与价格推导!$H$31:$N$34,3,0)*(1+0.04*K25)*IF(L25=1,0.92,1),0),"")</f>
        <v>142</v>
      </c>
      <c r="AS25" s="18">
        <f>IFERROR(ROUND(VLOOKUP(F25,字段说明与价格推导!$A$31:$F$35,5,0)+IF(H25="medium",0.02,IF(H25="low",0.04,0)),3),"")</f>
        <v>0.1</v>
      </c>
      <c r="AT25" s="18">
        <f>IFERROR(ROUND(VLOOKUP(F25,字段说明与价格推导!$A$31:$F$35,6,0)+IF(AA25=1,0.008,0)+IF(AB25=1,0.005,0)+IF(AC25=1,0.005,0),3),"")</f>
        <v>2.8000000000000001E-2</v>
      </c>
      <c r="AU25" s="18">
        <f>IFERROR(VLOOKUP(AF25,字段说明与价格推导!$H$31:$N$34,4,0),"")</f>
        <v>8.0000000000000002E-3</v>
      </c>
      <c r="AV25" s="18">
        <f>IFERROR(VLOOKUP(AF25,字段说明与价格推导!$H$31:$N$34,5,0),"")</f>
        <v>1.4999999999999999E-2</v>
      </c>
      <c r="AW25" s="18">
        <f>IFERROR(VLOOKUP(AF25,字段说明与价格推导!$H$31:$N$34,6,0),"")</f>
        <v>4.0000000000000001E-3</v>
      </c>
      <c r="AX25" s="6" t="str">
        <f t="shared" si="0"/>
        <v>推导估算</v>
      </c>
      <c r="AY25" s="7" t="s">
        <v>140</v>
      </c>
      <c r="AZ25" s="12" t="s">
        <v>247</v>
      </c>
    </row>
    <row r="26" spans="1:52" s="3" customFormat="1" ht="34" customHeight="1" x14ac:dyDescent="0.35">
      <c r="A26" s="11">
        <v>1</v>
      </c>
      <c r="B26" s="12" t="s">
        <v>232</v>
      </c>
      <c r="C26" s="12" t="s">
        <v>248</v>
      </c>
      <c r="D26" s="12" t="s">
        <v>249</v>
      </c>
      <c r="E26" s="12" t="s">
        <v>190</v>
      </c>
      <c r="F26" s="13" t="s">
        <v>123</v>
      </c>
      <c r="G26" s="12" t="s">
        <v>124</v>
      </c>
      <c r="H26" s="12" t="s">
        <v>125</v>
      </c>
      <c r="I26" s="11">
        <v>1</v>
      </c>
      <c r="J26" s="12" t="s">
        <v>250</v>
      </c>
      <c r="K26" s="11">
        <v>1</v>
      </c>
      <c r="L26" s="11">
        <v>0</v>
      </c>
      <c r="M26" s="11">
        <v>0</v>
      </c>
      <c r="N26" s="11">
        <v>0</v>
      </c>
      <c r="O26" s="12" t="s">
        <v>127</v>
      </c>
      <c r="P26" s="14"/>
      <c r="Q26" s="14">
        <v>233</v>
      </c>
      <c r="R26" s="14">
        <v>233</v>
      </c>
      <c r="S26" s="15"/>
      <c r="T26" s="12" t="s">
        <v>251</v>
      </c>
      <c r="U26" s="12"/>
      <c r="V26" s="12" t="s">
        <v>252</v>
      </c>
      <c r="W26" s="12" t="s">
        <v>253</v>
      </c>
      <c r="X26" s="12" t="s">
        <v>254</v>
      </c>
      <c r="Y26" s="12" t="s">
        <v>255</v>
      </c>
      <c r="Z26" s="12" t="s">
        <v>241</v>
      </c>
      <c r="AA26" s="11">
        <v>0</v>
      </c>
      <c r="AB26" s="11">
        <v>0</v>
      </c>
      <c r="AC26" s="11">
        <v>0</v>
      </c>
      <c r="AD26" s="11" t="s">
        <v>220</v>
      </c>
      <c r="AE26" s="12" t="s">
        <v>256</v>
      </c>
      <c r="AF26" s="16" t="s">
        <v>162</v>
      </c>
      <c r="AG26" s="12" t="s">
        <v>257</v>
      </c>
      <c r="AH26" s="12"/>
      <c r="AI26" s="12" t="s">
        <v>202</v>
      </c>
      <c r="AJ26" s="12" t="s">
        <v>245</v>
      </c>
      <c r="AK26" s="12" t="s">
        <v>258</v>
      </c>
      <c r="AL26" s="12" t="s">
        <v>259</v>
      </c>
      <c r="AM26" s="14">
        <v>1400</v>
      </c>
      <c r="AN26" s="14">
        <v>1350</v>
      </c>
      <c r="AO26" s="14">
        <v>2100</v>
      </c>
      <c r="AP26" s="14">
        <v>2700</v>
      </c>
      <c r="AQ26" s="17">
        <f>IFERROR(IF(F26="dc_dc_coupled_unit","",ROUND(VLOOKUP(F26,字段说明与价格推导!$A$31:$F$35,3,0)*VLOOKUP(AF26,字段说明与价格推导!$H$31:$N$34,2,0)*(1+0.03*K26+0.02*AA26+0.01*AB26+0.01*AC26+0.01*M26+0.01*N26),0)),"")</f>
        <v>845</v>
      </c>
      <c r="AR26" s="17">
        <f>IFERROR(ROUND(VLOOKUP(F26,字段说明与价格推导!$A$31:$F$35,4,0)*VLOOKUP(AF26,字段说明与价格推导!$H$31:$N$34,3,0)*(1+0.04*K26)*IF(L26=1,0.92,1),0),"")</f>
        <v>287</v>
      </c>
      <c r="AS26" s="18">
        <f>IFERROR(ROUND(VLOOKUP(F26,字段说明与价格推导!$A$31:$F$35,5,0)+IF(H26="medium",0.02,IF(H26="low",0.04,0)),3),"")</f>
        <v>0.08</v>
      </c>
      <c r="AT26" s="18">
        <f>IFERROR(ROUND(VLOOKUP(F26,字段说明与价格推导!$A$31:$F$35,6,0)+IF(AA26=1,0.008,0)+IF(AB26=1,0.005,0)+IF(AC26=1,0.005,0),3),"")</f>
        <v>2.5000000000000001E-2</v>
      </c>
      <c r="AU26" s="18">
        <f>IFERROR(VLOOKUP(AF26,字段说明与价格推导!$H$31:$N$34,4,0),"")</f>
        <v>7.0000000000000001E-3</v>
      </c>
      <c r="AV26" s="18">
        <f>IFERROR(VLOOKUP(AF26,字段说明与价格推导!$H$31:$N$34,5,0),"")</f>
        <v>1.2999999999999999E-2</v>
      </c>
      <c r="AW26" s="18">
        <f>IFERROR(VLOOKUP(AF26,字段说明与价格推导!$H$31:$N$34,6,0),"")</f>
        <v>3.5000000000000001E-3</v>
      </c>
      <c r="AX26" s="6" t="str">
        <f t="shared" si="0"/>
        <v>推导估算</v>
      </c>
      <c r="AY26" s="7" t="s">
        <v>140</v>
      </c>
      <c r="AZ26" s="12" t="s">
        <v>247</v>
      </c>
    </row>
    <row r="27" spans="1:52" s="3" customFormat="1" ht="34" customHeight="1" x14ac:dyDescent="0.35">
      <c r="A27" s="11">
        <v>1</v>
      </c>
      <c r="B27" s="12" t="s">
        <v>232</v>
      </c>
      <c r="C27" s="12" t="s">
        <v>260</v>
      </c>
      <c r="D27" s="12" t="s">
        <v>260</v>
      </c>
      <c r="E27" s="12" t="s">
        <v>261</v>
      </c>
      <c r="F27" s="13" t="s">
        <v>262</v>
      </c>
      <c r="G27" s="12" t="s">
        <v>263</v>
      </c>
      <c r="H27" s="12" t="s">
        <v>264</v>
      </c>
      <c r="I27" s="11">
        <v>0</v>
      </c>
      <c r="J27" s="12" t="s">
        <v>212</v>
      </c>
      <c r="K27" s="11">
        <v>0</v>
      </c>
      <c r="L27" s="11">
        <v>1</v>
      </c>
      <c r="M27" s="11">
        <v>0</v>
      </c>
      <c r="N27" s="11">
        <v>0</v>
      </c>
      <c r="O27" s="12" t="s">
        <v>127</v>
      </c>
      <c r="P27" s="14"/>
      <c r="Q27" s="14">
        <v>5015</v>
      </c>
      <c r="R27" s="14">
        <v>5015</v>
      </c>
      <c r="S27" s="15"/>
      <c r="T27" s="12" t="s">
        <v>265</v>
      </c>
      <c r="U27" s="12"/>
      <c r="V27" s="12" t="s">
        <v>266</v>
      </c>
      <c r="W27" s="12" t="s">
        <v>239</v>
      </c>
      <c r="X27" s="12" t="s">
        <v>267</v>
      </c>
      <c r="Y27" s="12" t="s">
        <v>267</v>
      </c>
      <c r="Z27" s="12" t="s">
        <v>241</v>
      </c>
      <c r="AA27" s="11">
        <v>0</v>
      </c>
      <c r="AB27" s="11">
        <v>1</v>
      </c>
      <c r="AC27" s="11">
        <v>1</v>
      </c>
      <c r="AD27" s="11" t="s">
        <v>220</v>
      </c>
      <c r="AE27" s="12" t="s">
        <v>242</v>
      </c>
      <c r="AF27" s="16" t="s">
        <v>182</v>
      </c>
      <c r="AG27" s="12" t="s">
        <v>268</v>
      </c>
      <c r="AH27" s="12"/>
      <c r="AI27" s="12" t="s">
        <v>269</v>
      </c>
      <c r="AJ27" s="12"/>
      <c r="AK27" s="12" t="s">
        <v>270</v>
      </c>
      <c r="AL27" s="12" t="s">
        <v>139</v>
      </c>
      <c r="AM27" s="14">
        <v>6250</v>
      </c>
      <c r="AN27" s="14">
        <v>2550</v>
      </c>
      <c r="AO27" s="14">
        <v>3000</v>
      </c>
      <c r="AP27" s="14">
        <v>39000</v>
      </c>
      <c r="AQ27" s="17">
        <f>IFERROR(IF(F27="dc_dc_coupled_unit","",ROUND(VLOOKUP(F27,字段说明与价格推导!$A$31:$F$35,3,0)*VLOOKUP(AF27,字段说明与价格推导!$H$31:$N$34,2,0)*(1+0.03*K27+0.02*AA27+0.01*AB27+0.01*AC27+0.01*M27+0.01*N27),0)),"")</f>
        <v>651</v>
      </c>
      <c r="AR27" s="17">
        <f>IFERROR(ROUND(VLOOKUP(F27,字段说明与价格推导!$A$31:$F$35,4,0)*VLOOKUP(AF27,字段说明与价格推导!$H$31:$N$34,3,0)*(1+0.04*K27)*IF(L27=1,0.92,1),0),"")</f>
        <v>111</v>
      </c>
      <c r="AS27" s="18">
        <f>IFERROR(ROUND(VLOOKUP(F27,字段说明与价格推导!$A$31:$F$35,5,0)+IF(H27="medium",0.02,IF(H27="low",0.04,0)),3),"")</f>
        <v>0.19</v>
      </c>
      <c r="AT27" s="18">
        <f>IFERROR(ROUND(VLOOKUP(F27,字段说明与价格推导!$A$31:$F$35,6,0)+IF(AA27=1,0.008,0)+IF(AB27=1,0.005,0)+IF(AC27=1,0.005,0),3),"")</f>
        <v>4.4999999999999998E-2</v>
      </c>
      <c r="AU27" s="18">
        <f>IFERROR(VLOOKUP(AF27,字段说明与价格推导!$H$31:$N$34,4,0),"")</f>
        <v>8.0000000000000002E-3</v>
      </c>
      <c r="AV27" s="18">
        <f>IFERROR(VLOOKUP(AF27,字段说明与价格推导!$H$31:$N$34,5,0),"")</f>
        <v>1.4999999999999999E-2</v>
      </c>
      <c r="AW27" s="18">
        <f>IFERROR(VLOOKUP(AF27,字段说明与价格推导!$H$31:$N$34,6,0),"")</f>
        <v>4.0000000000000001E-3</v>
      </c>
      <c r="AX27" s="6" t="str">
        <f t="shared" si="0"/>
        <v>推导估算</v>
      </c>
      <c r="AY27" s="7" t="s">
        <v>140</v>
      </c>
      <c r="AZ27" s="12" t="s">
        <v>247</v>
      </c>
    </row>
    <row r="28" spans="1:52" s="3" customFormat="1" ht="34" customHeight="1" x14ac:dyDescent="0.35">
      <c r="A28" s="11">
        <v>0</v>
      </c>
      <c r="B28" s="12" t="s">
        <v>232</v>
      </c>
      <c r="C28" s="12" t="s">
        <v>271</v>
      </c>
      <c r="D28" s="12" t="s">
        <v>271</v>
      </c>
      <c r="E28" s="12" t="s">
        <v>272</v>
      </c>
      <c r="F28" s="13" t="s">
        <v>273</v>
      </c>
      <c r="G28" s="12" t="s">
        <v>274</v>
      </c>
      <c r="H28" s="12" t="s">
        <v>264</v>
      </c>
      <c r="I28" s="11">
        <v>0</v>
      </c>
      <c r="J28" s="12" t="s">
        <v>212</v>
      </c>
      <c r="K28" s="11">
        <v>0</v>
      </c>
      <c r="L28" s="11">
        <v>0</v>
      </c>
      <c r="M28" s="11">
        <v>0</v>
      </c>
      <c r="N28" s="11">
        <v>0</v>
      </c>
      <c r="O28" s="12"/>
      <c r="P28" s="14">
        <v>100</v>
      </c>
      <c r="Q28" s="14"/>
      <c r="R28" s="14"/>
      <c r="S28" s="15"/>
      <c r="T28" s="12" t="s">
        <v>275</v>
      </c>
      <c r="U28" s="12"/>
      <c r="V28" s="12" t="s">
        <v>276</v>
      </c>
      <c r="W28" s="12" t="s">
        <v>277</v>
      </c>
      <c r="X28" s="12" t="s">
        <v>278</v>
      </c>
      <c r="Y28" s="12" t="s">
        <v>279</v>
      </c>
      <c r="Z28" s="12" t="s">
        <v>241</v>
      </c>
      <c r="AA28" s="11">
        <v>0</v>
      </c>
      <c r="AB28" s="11">
        <v>0</v>
      </c>
      <c r="AC28" s="11">
        <v>0</v>
      </c>
      <c r="AD28" s="11" t="s">
        <v>280</v>
      </c>
      <c r="AE28" s="12" t="s">
        <v>242</v>
      </c>
      <c r="AF28" s="16" t="s">
        <v>162</v>
      </c>
      <c r="AG28" s="12" t="s">
        <v>281</v>
      </c>
      <c r="AH28" s="12">
        <v>99</v>
      </c>
      <c r="AI28" s="12" t="s">
        <v>282</v>
      </c>
      <c r="AJ28" s="12"/>
      <c r="AK28" s="12" t="s">
        <v>283</v>
      </c>
      <c r="AL28" s="12" t="s">
        <v>139</v>
      </c>
      <c r="AM28" s="14"/>
      <c r="AN28" s="14"/>
      <c r="AO28" s="14"/>
      <c r="AP28" s="14"/>
      <c r="AQ28" s="17" t="str">
        <f>IFERROR(IF(F28="dc_dc_coupled_unit","",ROUND(VLOOKUP(F28,字段说明与价格推导!$A$31:$F$35,3,0)*VLOOKUP(AF28,字段说明与价格推导!$H$31:$N$34,2,0)*(1+0.03*K28+0.02*AA28+0.01*AB28+0.01*AC28+0.01*M28+0.01*N28),0)),"")</f>
        <v/>
      </c>
      <c r="AR28" s="17">
        <f>IFERROR(ROUND(VLOOKUP(F28,字段说明与价格推导!$A$31:$F$35,4,0)*VLOOKUP(AF28,字段说明与价格推导!$H$31:$N$34,3,0)*(1+0.04*K28)*IF(L28=1,0.92,1),0),"")</f>
        <v>901</v>
      </c>
      <c r="AS28" s="18">
        <f>IFERROR(ROUND(VLOOKUP(F28,字段说明与价格推导!$A$31:$F$35,5,0)+IF(H28="medium",0.02,IF(H28="low",0.04,0)),3),"")</f>
        <v>0.09</v>
      </c>
      <c r="AT28" s="18">
        <f>IFERROR(ROUND(VLOOKUP(F28,字段说明与价格推导!$A$31:$F$35,6,0)+IF(AA28=1,0.008,0)+IF(AB28=1,0.005,0)+IF(AC28=1,0.005,0),3),"")</f>
        <v>0.01</v>
      </c>
      <c r="AU28" s="18">
        <f>IFERROR(VLOOKUP(AF28,字段说明与价格推导!$H$31:$N$34,4,0),"")</f>
        <v>7.0000000000000001E-3</v>
      </c>
      <c r="AV28" s="18">
        <f>IFERROR(VLOOKUP(AF28,字段说明与价格推导!$H$31:$N$34,5,0),"")</f>
        <v>1.2999999999999999E-2</v>
      </c>
      <c r="AW28" s="18">
        <f>IFERROR(VLOOKUP(AF28,字段说明与价格推导!$H$31:$N$34,6,0),"")</f>
        <v>3.5000000000000001E-3</v>
      </c>
      <c r="AX28" s="6" t="str">
        <f t="shared" si="0"/>
        <v>需人工复核</v>
      </c>
      <c r="AY28" s="7" t="s">
        <v>140</v>
      </c>
      <c r="AZ28" s="12" t="s">
        <v>247</v>
      </c>
    </row>
  </sheetData>
  <mergeCells count="6">
    <mergeCell ref="A1:J1"/>
    <mergeCell ref="F3:J3"/>
    <mergeCell ref="A3:D3"/>
    <mergeCell ref="F5:J5"/>
    <mergeCell ref="F6:J6"/>
    <mergeCell ref="F4:J4"/>
  </mergeCells>
  <phoneticPr fontId="7" type="noConversion"/>
  <conditionalFormatting sqref="AJ13:AJ19">
    <cfRule type="expression" dxfId="0" priority="1">
      <formula>LEFT(AJ13,2)="待补"</formula>
    </cfRule>
  </conditionalFormatting>
  <dataValidations count="1">
    <dataValidation type="list" sqref="B4" xr:uid="{00000000-0002-0000-0000-000000000000}">
      <formula1>"0,1,2"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showGridLines="0" workbookViewId="0">
      <selection sqref="A1:H1"/>
    </sheetView>
  </sheetViews>
  <sheetFormatPr defaultRowHeight="14.5" x14ac:dyDescent="0.35"/>
  <cols>
    <col min="1" max="1" width="20" style="3" customWidth="1"/>
    <col min="2" max="2" width="14" style="3" customWidth="1"/>
    <col min="3" max="10" width="10" style="3" customWidth="1"/>
    <col min="11" max="11" width="16" style="3" customWidth="1"/>
    <col min="12" max="12" width="10" style="3" customWidth="1"/>
    <col min="13" max="14" width="14" style="3" customWidth="1"/>
    <col min="15" max="15" width="34" style="3" customWidth="1"/>
    <col min="16" max="16" width="20" style="3" customWidth="1"/>
  </cols>
  <sheetData>
    <row r="1" spans="1:16" s="3" customFormat="1" ht="18.5" customHeight="1" x14ac:dyDescent="0.45">
      <c r="A1" s="33" t="s">
        <v>284</v>
      </c>
      <c r="B1" s="29"/>
      <c r="C1" s="29"/>
      <c r="D1" s="29"/>
      <c r="E1" s="29"/>
      <c r="F1" s="29"/>
      <c r="G1" s="29"/>
      <c r="H1" s="29"/>
    </row>
    <row r="3" spans="1:16" s="3" customFormat="1" ht="29" customHeight="1" x14ac:dyDescent="0.35">
      <c r="A3" s="19" t="s">
        <v>24</v>
      </c>
      <c r="B3" s="19" t="s">
        <v>285</v>
      </c>
      <c r="C3" s="19" t="s">
        <v>286</v>
      </c>
      <c r="D3" s="19" t="s">
        <v>287</v>
      </c>
      <c r="E3" s="19" t="s">
        <v>288</v>
      </c>
      <c r="F3" s="19" t="s">
        <v>289</v>
      </c>
      <c r="G3" s="19" t="s">
        <v>290</v>
      </c>
      <c r="H3" s="19" t="s">
        <v>291</v>
      </c>
      <c r="I3" s="19" t="s">
        <v>292</v>
      </c>
      <c r="J3" s="19" t="s">
        <v>293</v>
      </c>
      <c r="K3" s="19" t="s">
        <v>294</v>
      </c>
      <c r="L3" s="19" t="s">
        <v>295</v>
      </c>
      <c r="M3" s="19" t="s">
        <v>296</v>
      </c>
      <c r="N3" s="19" t="s">
        <v>297</v>
      </c>
      <c r="O3" s="19" t="s">
        <v>298</v>
      </c>
      <c r="P3" s="19" t="s">
        <v>66</v>
      </c>
    </row>
    <row r="4" spans="1:16" x14ac:dyDescent="0.35">
      <c r="A4" s="10" t="s">
        <v>299</v>
      </c>
      <c r="B4" s="10" t="s">
        <v>300</v>
      </c>
      <c r="C4" s="10" t="s">
        <v>301</v>
      </c>
      <c r="D4" s="10" t="s">
        <v>302</v>
      </c>
      <c r="E4" s="10" t="s">
        <v>303</v>
      </c>
      <c r="F4" s="10" t="s">
        <v>304</v>
      </c>
      <c r="G4" s="10" t="s">
        <v>305</v>
      </c>
      <c r="H4" s="10" t="s">
        <v>306</v>
      </c>
      <c r="I4" s="10" t="s">
        <v>307</v>
      </c>
      <c r="J4" s="10" t="s">
        <v>308</v>
      </c>
      <c r="K4" s="10" t="s">
        <v>309</v>
      </c>
      <c r="L4" s="10" t="s">
        <v>310</v>
      </c>
      <c r="M4" s="10" t="s">
        <v>311</v>
      </c>
      <c r="N4" s="10" t="s">
        <v>312</v>
      </c>
      <c r="O4" s="10" t="s">
        <v>313</v>
      </c>
      <c r="P4" s="10" t="s">
        <v>118</v>
      </c>
    </row>
    <row r="5" spans="1:16" s="3" customFormat="1" ht="29" customHeight="1" x14ac:dyDescent="0.35">
      <c r="A5" s="20" t="s">
        <v>126</v>
      </c>
      <c r="B5" s="20" t="s">
        <v>314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0" t="s">
        <v>315</v>
      </c>
      <c r="L5" s="21">
        <v>0</v>
      </c>
      <c r="M5" s="22">
        <v>0</v>
      </c>
      <c r="N5" s="22">
        <v>0</v>
      </c>
      <c r="O5" s="20" t="s">
        <v>316</v>
      </c>
      <c r="P5" s="20" t="s">
        <v>317</v>
      </c>
    </row>
    <row r="6" spans="1:16" s="3" customFormat="1" ht="43.5" customHeight="1" x14ac:dyDescent="0.35">
      <c r="A6" s="20" t="s">
        <v>14</v>
      </c>
      <c r="B6" s="20" t="s">
        <v>314</v>
      </c>
      <c r="C6" s="21">
        <v>1</v>
      </c>
      <c r="D6" s="21">
        <v>1</v>
      </c>
      <c r="E6" s="21">
        <v>1</v>
      </c>
      <c r="F6" s="21">
        <v>1</v>
      </c>
      <c r="G6" s="21">
        <v>1</v>
      </c>
      <c r="H6" s="21">
        <v>1</v>
      </c>
      <c r="I6" s="21">
        <v>1</v>
      </c>
      <c r="J6" s="21">
        <v>1</v>
      </c>
      <c r="K6" s="20" t="s">
        <v>318</v>
      </c>
      <c r="L6" s="21">
        <v>1</v>
      </c>
      <c r="M6" s="22">
        <v>20000</v>
      </c>
      <c r="N6" s="22">
        <v>3000</v>
      </c>
      <c r="O6" s="20" t="s">
        <v>319</v>
      </c>
      <c r="P6" s="20" t="s">
        <v>317</v>
      </c>
    </row>
    <row r="7" spans="1:16" s="3" customFormat="1" ht="29" customHeight="1" x14ac:dyDescent="0.35">
      <c r="A7" s="20" t="s">
        <v>173</v>
      </c>
      <c r="B7" s="20" t="s">
        <v>314</v>
      </c>
      <c r="C7" s="21">
        <v>1</v>
      </c>
      <c r="D7" s="21">
        <v>1</v>
      </c>
      <c r="E7" s="21">
        <v>1</v>
      </c>
      <c r="F7" s="21">
        <v>1</v>
      </c>
      <c r="G7" s="21">
        <v>1</v>
      </c>
      <c r="H7" s="21">
        <v>1</v>
      </c>
      <c r="I7" s="21">
        <v>1</v>
      </c>
      <c r="J7" s="21">
        <v>1</v>
      </c>
      <c r="K7" s="20" t="s">
        <v>320</v>
      </c>
      <c r="L7" s="21">
        <v>1</v>
      </c>
      <c r="M7" s="22">
        <v>50000</v>
      </c>
      <c r="N7" s="22">
        <v>6000</v>
      </c>
      <c r="O7" s="20" t="s">
        <v>321</v>
      </c>
      <c r="P7" s="20" t="s">
        <v>317</v>
      </c>
    </row>
    <row r="8" spans="1:16" s="3" customFormat="1" ht="43.5" customHeight="1" x14ac:dyDescent="0.35">
      <c r="A8" s="23" t="s">
        <v>212</v>
      </c>
      <c r="B8" s="23" t="s">
        <v>322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3" t="s">
        <v>315</v>
      </c>
      <c r="L8" s="24">
        <v>0</v>
      </c>
      <c r="M8" s="25">
        <v>80000</v>
      </c>
      <c r="N8" s="25">
        <v>8000</v>
      </c>
      <c r="O8" s="23" t="s">
        <v>323</v>
      </c>
      <c r="P8" s="23" t="s">
        <v>324</v>
      </c>
    </row>
    <row r="9" spans="1:16" s="3" customFormat="1" ht="43.5" customHeight="1" x14ac:dyDescent="0.35">
      <c r="A9" s="23" t="s">
        <v>191</v>
      </c>
      <c r="B9" s="23" t="s">
        <v>325</v>
      </c>
      <c r="C9" s="24">
        <v>0</v>
      </c>
      <c r="D9" s="24">
        <v>0</v>
      </c>
      <c r="E9" s="24">
        <v>0</v>
      </c>
      <c r="F9" s="24">
        <v>1</v>
      </c>
      <c r="G9" s="24">
        <v>0</v>
      </c>
      <c r="H9" s="24">
        <v>0</v>
      </c>
      <c r="I9" s="24">
        <v>0</v>
      </c>
      <c r="J9" s="24">
        <v>0</v>
      </c>
      <c r="K9" s="23" t="s">
        <v>315</v>
      </c>
      <c r="L9" s="24">
        <v>0</v>
      </c>
      <c r="M9" s="25">
        <v>0</v>
      </c>
      <c r="N9" s="25">
        <v>2000</v>
      </c>
      <c r="O9" s="23" t="s">
        <v>326</v>
      </c>
      <c r="P9" s="23" t="s">
        <v>206</v>
      </c>
    </row>
    <row r="10" spans="1:16" ht="29" x14ac:dyDescent="0.35">
      <c r="A10" s="23" t="s">
        <v>250</v>
      </c>
      <c r="B10" s="23" t="s">
        <v>327</v>
      </c>
      <c r="C10" s="24">
        <v>0</v>
      </c>
      <c r="D10" s="24">
        <v>0</v>
      </c>
      <c r="E10" s="24">
        <v>0</v>
      </c>
      <c r="F10" s="24">
        <v>1</v>
      </c>
      <c r="G10" s="24">
        <v>0</v>
      </c>
      <c r="H10" s="24">
        <v>0</v>
      </c>
      <c r="I10" s="24">
        <v>0</v>
      </c>
      <c r="J10" s="24">
        <v>0</v>
      </c>
      <c r="K10" s="23" t="s">
        <v>315</v>
      </c>
      <c r="L10" s="24">
        <v>0</v>
      </c>
      <c r="M10" s="25">
        <v>10000</v>
      </c>
      <c r="N10" s="25">
        <v>3000</v>
      </c>
      <c r="O10" s="23" t="s">
        <v>328</v>
      </c>
      <c r="P10" s="23" t="s">
        <v>247</v>
      </c>
    </row>
  </sheetData>
  <mergeCells count="1">
    <mergeCell ref="A1:H1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"/>
  <sheetViews>
    <sheetView showGridLines="0" topLeftCell="A5" workbookViewId="0">
      <selection sqref="A1:N1"/>
    </sheetView>
  </sheetViews>
  <sheetFormatPr defaultRowHeight="14.5" x14ac:dyDescent="0.35"/>
  <cols>
    <col min="1" max="1" width="24" style="3" customWidth="1"/>
    <col min="2" max="2" width="16" style="3" customWidth="1"/>
    <col min="3" max="3" width="22" style="3" customWidth="1"/>
    <col min="4" max="4" width="16" style="3" customWidth="1"/>
    <col min="8" max="8" width="14" style="3" customWidth="1"/>
    <col min="9" max="11" width="12" style="3" customWidth="1"/>
    <col min="12" max="13" width="14" style="3" customWidth="1"/>
    <col min="14" max="14" width="28" style="3" customWidth="1"/>
  </cols>
  <sheetData>
    <row r="1" spans="1:14" x14ac:dyDescent="0.35">
      <c r="A1" s="28" t="s">
        <v>329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 x14ac:dyDescent="0.35">
      <c r="A3" s="26" t="s">
        <v>313</v>
      </c>
    </row>
    <row r="4" spans="1:14" ht="58" x14ac:dyDescent="0.35">
      <c r="A4" s="8" t="s">
        <v>330</v>
      </c>
    </row>
    <row r="5" spans="1:14" ht="72.5" x14ac:dyDescent="0.35">
      <c r="A5" s="8" t="s">
        <v>331</v>
      </c>
    </row>
    <row r="6" spans="1:14" ht="58" x14ac:dyDescent="0.35">
      <c r="A6" s="8" t="s">
        <v>332</v>
      </c>
    </row>
    <row r="8" spans="1:14" ht="29" x14ac:dyDescent="0.35">
      <c r="A8" s="9" t="s">
        <v>333</v>
      </c>
      <c r="B8" s="9" t="s">
        <v>334</v>
      </c>
      <c r="C8" s="9" t="s">
        <v>335</v>
      </c>
      <c r="D8" s="9" t="s">
        <v>336</v>
      </c>
    </row>
    <row r="9" spans="1:14" x14ac:dyDescent="0.35">
      <c r="A9" s="12" t="s">
        <v>15</v>
      </c>
      <c r="B9" s="12" t="s">
        <v>337</v>
      </c>
      <c r="C9" s="12" t="s">
        <v>338</v>
      </c>
      <c r="D9" s="12" t="s">
        <v>339</v>
      </c>
    </row>
    <row r="10" spans="1:14" x14ac:dyDescent="0.35">
      <c r="A10" s="12" t="s">
        <v>16</v>
      </c>
      <c r="B10" s="12" t="s">
        <v>68</v>
      </c>
      <c r="C10" s="12" t="s">
        <v>340</v>
      </c>
      <c r="D10" s="12" t="s">
        <v>339</v>
      </c>
    </row>
    <row r="11" spans="1:14" x14ac:dyDescent="0.35">
      <c r="A11" s="12" t="s">
        <v>17</v>
      </c>
      <c r="B11" s="12" t="s">
        <v>69</v>
      </c>
      <c r="C11" s="12" t="s">
        <v>341</v>
      </c>
      <c r="D11" s="12" t="s">
        <v>339</v>
      </c>
    </row>
    <row r="12" spans="1:14" x14ac:dyDescent="0.35">
      <c r="A12" s="12" t="s">
        <v>18</v>
      </c>
      <c r="B12" s="12" t="s">
        <v>70</v>
      </c>
      <c r="C12" s="12" t="s">
        <v>342</v>
      </c>
      <c r="D12" s="12" t="s">
        <v>339</v>
      </c>
    </row>
    <row r="13" spans="1:14" ht="29" x14ac:dyDescent="0.35">
      <c r="A13" s="12" t="s">
        <v>19</v>
      </c>
      <c r="B13" s="12" t="s">
        <v>71</v>
      </c>
      <c r="C13" s="12" t="s">
        <v>343</v>
      </c>
      <c r="D13" s="12" t="s">
        <v>339</v>
      </c>
    </row>
    <row r="14" spans="1:14" x14ac:dyDescent="0.35">
      <c r="A14" s="12" t="s">
        <v>20</v>
      </c>
      <c r="B14" s="12" t="s">
        <v>72</v>
      </c>
      <c r="C14" s="12" t="s">
        <v>344</v>
      </c>
      <c r="D14" s="12" t="s">
        <v>339</v>
      </c>
    </row>
    <row r="15" spans="1:14" x14ac:dyDescent="0.35">
      <c r="A15" s="12" t="s">
        <v>24</v>
      </c>
      <c r="B15" s="12" t="s">
        <v>76</v>
      </c>
      <c r="C15" s="12" t="s">
        <v>345</v>
      </c>
      <c r="D15" s="12" t="s">
        <v>339</v>
      </c>
    </row>
    <row r="16" spans="1:14" x14ac:dyDescent="0.35">
      <c r="A16" s="12" t="s">
        <v>30</v>
      </c>
      <c r="B16" s="12" t="s">
        <v>82</v>
      </c>
      <c r="C16" s="12" t="s">
        <v>346</v>
      </c>
      <c r="D16" s="12" t="s">
        <v>339</v>
      </c>
    </row>
    <row r="17" spans="1:14" x14ac:dyDescent="0.35">
      <c r="A17" s="12" t="s">
        <v>31</v>
      </c>
      <c r="B17" s="12" t="s">
        <v>83</v>
      </c>
      <c r="C17" s="12" t="s">
        <v>347</v>
      </c>
      <c r="D17" s="12" t="s">
        <v>339</v>
      </c>
    </row>
    <row r="18" spans="1:14" x14ac:dyDescent="0.35">
      <c r="A18" s="12" t="s">
        <v>46</v>
      </c>
      <c r="B18" s="12" t="s">
        <v>348</v>
      </c>
      <c r="C18" s="12" t="s">
        <v>349</v>
      </c>
      <c r="D18" s="12" t="s">
        <v>339</v>
      </c>
    </row>
    <row r="19" spans="1:14" ht="29" x14ac:dyDescent="0.35">
      <c r="A19" s="12" t="s">
        <v>57</v>
      </c>
      <c r="B19" s="12" t="s">
        <v>109</v>
      </c>
      <c r="C19" s="12" t="s">
        <v>350</v>
      </c>
      <c r="D19" s="12" t="s">
        <v>339</v>
      </c>
    </row>
    <row r="20" spans="1:14" ht="29" x14ac:dyDescent="0.35">
      <c r="A20" s="12" t="s">
        <v>58</v>
      </c>
      <c r="B20" s="12" t="s">
        <v>110</v>
      </c>
      <c r="C20" s="12" t="s">
        <v>351</v>
      </c>
      <c r="D20" s="12" t="s">
        <v>339</v>
      </c>
    </row>
    <row r="21" spans="1:14" ht="29" x14ac:dyDescent="0.35">
      <c r="A21" s="12" t="s">
        <v>59</v>
      </c>
      <c r="B21" s="12" t="s">
        <v>111</v>
      </c>
      <c r="C21" s="12" t="s">
        <v>352</v>
      </c>
      <c r="D21" s="12" t="s">
        <v>339</v>
      </c>
    </row>
    <row r="22" spans="1:14" x14ac:dyDescent="0.35">
      <c r="A22" s="12" t="s">
        <v>60</v>
      </c>
      <c r="B22" s="12" t="s">
        <v>112</v>
      </c>
      <c r="C22" s="12" t="s">
        <v>352</v>
      </c>
      <c r="D22" s="12" t="s">
        <v>339</v>
      </c>
    </row>
    <row r="23" spans="1:14" x14ac:dyDescent="0.35">
      <c r="A23" s="12" t="s">
        <v>64</v>
      </c>
      <c r="B23" s="12" t="s">
        <v>116</v>
      </c>
      <c r="C23" s="12" t="s">
        <v>353</v>
      </c>
      <c r="D23" s="12" t="s">
        <v>339</v>
      </c>
    </row>
    <row r="24" spans="1:14" ht="29" x14ac:dyDescent="0.35">
      <c r="A24" s="12" t="s">
        <v>65</v>
      </c>
      <c r="B24" s="12" t="s">
        <v>117</v>
      </c>
      <c r="C24" s="12" t="s">
        <v>354</v>
      </c>
      <c r="D24" s="12" t="s">
        <v>355</v>
      </c>
    </row>
    <row r="30" spans="1:14" ht="29" x14ac:dyDescent="0.35">
      <c r="A30" s="9" t="s">
        <v>20</v>
      </c>
      <c r="B30" s="9" t="s">
        <v>356</v>
      </c>
      <c r="C30" s="9" t="s">
        <v>357</v>
      </c>
      <c r="D30" s="9" t="s">
        <v>358</v>
      </c>
      <c r="E30" s="9" t="s">
        <v>359</v>
      </c>
      <c r="F30" s="9" t="s">
        <v>360</v>
      </c>
      <c r="H30" s="9" t="s">
        <v>46</v>
      </c>
      <c r="I30" s="9" t="s">
        <v>361</v>
      </c>
      <c r="J30" s="9" t="s">
        <v>362</v>
      </c>
      <c r="K30" s="9" t="s">
        <v>363</v>
      </c>
      <c r="L30" s="9" t="s">
        <v>364</v>
      </c>
      <c r="M30" s="9" t="s">
        <v>365</v>
      </c>
      <c r="N30" s="9" t="s">
        <v>356</v>
      </c>
    </row>
    <row r="31" spans="1:14" ht="29" x14ac:dyDescent="0.35">
      <c r="A31" s="12" t="s">
        <v>123</v>
      </c>
      <c r="B31" s="12" t="s">
        <v>366</v>
      </c>
      <c r="C31" s="11">
        <v>760</v>
      </c>
      <c r="D31" s="11">
        <v>260</v>
      </c>
      <c r="E31" s="11">
        <v>0.08</v>
      </c>
      <c r="F31" s="11">
        <v>2.5000000000000001E-2</v>
      </c>
      <c r="H31" s="11" t="s">
        <v>182</v>
      </c>
      <c r="I31" s="11">
        <v>1.1200000000000001</v>
      </c>
      <c r="J31" s="11">
        <v>1.1000000000000001</v>
      </c>
      <c r="K31" s="11">
        <v>8.0000000000000002E-3</v>
      </c>
      <c r="L31" s="11">
        <v>1.4999999999999999E-2</v>
      </c>
      <c r="M31" s="11">
        <v>4.0000000000000001E-3</v>
      </c>
      <c r="N31" s="12" t="s">
        <v>367</v>
      </c>
    </row>
    <row r="32" spans="1:14" ht="29" x14ac:dyDescent="0.35">
      <c r="A32" s="12" t="s">
        <v>210</v>
      </c>
      <c r="B32" s="12" t="s">
        <v>368</v>
      </c>
      <c r="C32" s="11">
        <v>620</v>
      </c>
      <c r="D32" s="11">
        <v>120</v>
      </c>
      <c r="E32" s="11">
        <v>0.12</v>
      </c>
      <c r="F32" s="11">
        <v>0.03</v>
      </c>
      <c r="H32" s="11" t="s">
        <v>162</v>
      </c>
      <c r="I32" s="11">
        <v>1.08</v>
      </c>
      <c r="J32" s="11">
        <v>1.06</v>
      </c>
      <c r="K32" s="11">
        <v>7.0000000000000001E-3</v>
      </c>
      <c r="L32" s="11">
        <v>1.2999999999999999E-2</v>
      </c>
      <c r="M32" s="11">
        <v>3.5000000000000001E-3</v>
      </c>
      <c r="N32" s="12" t="s">
        <v>369</v>
      </c>
    </row>
    <row r="33" spans="1:14" ht="29" x14ac:dyDescent="0.35">
      <c r="A33" s="12" t="s">
        <v>235</v>
      </c>
      <c r="B33" s="12" t="s">
        <v>234</v>
      </c>
      <c r="C33" s="11">
        <v>660</v>
      </c>
      <c r="D33" s="11">
        <v>140</v>
      </c>
      <c r="E33" s="11">
        <v>0.1</v>
      </c>
      <c r="F33" s="11">
        <v>2.8000000000000001E-2</v>
      </c>
      <c r="H33" s="11" t="s">
        <v>153</v>
      </c>
      <c r="I33" s="11">
        <v>1.04</v>
      </c>
      <c r="J33" s="11">
        <v>1.03</v>
      </c>
      <c r="K33" s="11">
        <v>6.0000000000000001E-3</v>
      </c>
      <c r="L33" s="11">
        <v>1.0999999999999999E-2</v>
      </c>
      <c r="M33" s="11">
        <v>3.0000000000000001E-3</v>
      </c>
      <c r="N33" s="12" t="s">
        <v>370</v>
      </c>
    </row>
    <row r="34" spans="1:14" ht="29" x14ac:dyDescent="0.35">
      <c r="A34" s="12" t="s">
        <v>262</v>
      </c>
      <c r="B34" s="12" t="s">
        <v>371</v>
      </c>
      <c r="C34" s="11">
        <v>570</v>
      </c>
      <c r="D34" s="11">
        <v>110</v>
      </c>
      <c r="E34" s="11">
        <v>0.15</v>
      </c>
      <c r="F34" s="11">
        <v>3.5000000000000003E-2</v>
      </c>
      <c r="H34" s="11" t="s">
        <v>136</v>
      </c>
      <c r="I34" s="11">
        <v>1</v>
      </c>
      <c r="J34" s="11">
        <v>1</v>
      </c>
      <c r="K34" s="11">
        <v>5.0000000000000001E-3</v>
      </c>
      <c r="L34" s="11">
        <v>0.01</v>
      </c>
      <c r="M34" s="11">
        <v>2.5000000000000001E-3</v>
      </c>
      <c r="N34" s="12" t="s">
        <v>372</v>
      </c>
    </row>
    <row r="35" spans="1:14" ht="29" x14ac:dyDescent="0.35">
      <c r="A35" s="12" t="s">
        <v>273</v>
      </c>
      <c r="B35" s="12" t="s">
        <v>373</v>
      </c>
      <c r="C35" s="11">
        <v>0</v>
      </c>
      <c r="D35" s="11">
        <v>850</v>
      </c>
      <c r="E35" s="11">
        <v>0.05</v>
      </c>
      <c r="F35" s="11">
        <v>0.01</v>
      </c>
    </row>
  </sheetData>
  <mergeCells count="1">
    <mergeCell ref="A1:N1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workbookViewId="0">
      <selection sqref="A1:F1"/>
    </sheetView>
  </sheetViews>
  <sheetFormatPr defaultRowHeight="14.5" x14ac:dyDescent="0.35"/>
  <cols>
    <col min="1" max="2" width="42" style="3" customWidth="1"/>
    <col min="3" max="3" width="24" style="3" customWidth="1"/>
    <col min="4" max="4" width="18" style="3" customWidth="1"/>
    <col min="5" max="5" width="24" style="3" customWidth="1"/>
  </cols>
  <sheetData>
    <row r="1" spans="1:6" s="3" customFormat="1" ht="18.5" customHeight="1" x14ac:dyDescent="0.45">
      <c r="A1" s="33" t="s">
        <v>374</v>
      </c>
      <c r="B1" s="29"/>
      <c r="C1" s="29"/>
      <c r="D1" s="29"/>
      <c r="E1" s="29"/>
      <c r="F1" s="29"/>
    </row>
    <row r="3" spans="1:6" x14ac:dyDescent="0.35">
      <c r="A3" s="1" t="s">
        <v>375</v>
      </c>
      <c r="B3" s="1" t="s">
        <v>376</v>
      </c>
      <c r="C3" s="1" t="s">
        <v>377</v>
      </c>
      <c r="D3" s="1" t="s">
        <v>378</v>
      </c>
      <c r="E3" s="1" t="s">
        <v>379</v>
      </c>
    </row>
    <row r="4" spans="1:6" s="3" customFormat="1" ht="29" customHeight="1" x14ac:dyDescent="0.35">
      <c r="A4" s="2" t="s">
        <v>141</v>
      </c>
      <c r="B4" s="2" t="s">
        <v>380</v>
      </c>
      <c r="C4" s="2" t="s">
        <v>381</v>
      </c>
      <c r="D4" s="2" t="s">
        <v>382</v>
      </c>
      <c r="E4" s="2" t="s">
        <v>383</v>
      </c>
    </row>
    <row r="5" spans="1:6" s="3" customFormat="1" ht="29" customHeight="1" x14ac:dyDescent="0.35">
      <c r="A5" s="2" t="s">
        <v>155</v>
      </c>
      <c r="B5" s="2" t="s">
        <v>384</v>
      </c>
      <c r="C5" s="2" t="s">
        <v>381</v>
      </c>
      <c r="D5" s="2" t="s">
        <v>382</v>
      </c>
      <c r="E5" s="2" t="s">
        <v>385</v>
      </c>
    </row>
    <row r="6" spans="1:6" s="3" customFormat="1" ht="29" customHeight="1" x14ac:dyDescent="0.35">
      <c r="A6" s="2" t="s">
        <v>164</v>
      </c>
      <c r="B6" s="2" t="s">
        <v>386</v>
      </c>
      <c r="C6" s="2" t="s">
        <v>387</v>
      </c>
      <c r="D6" s="2" t="s">
        <v>382</v>
      </c>
      <c r="E6" s="2" t="s">
        <v>388</v>
      </c>
    </row>
    <row r="7" spans="1:6" s="3" customFormat="1" ht="29" customHeight="1" x14ac:dyDescent="0.35">
      <c r="A7" s="2" t="s">
        <v>167</v>
      </c>
      <c r="B7" s="2" t="s">
        <v>389</v>
      </c>
      <c r="C7" s="2" t="s">
        <v>381</v>
      </c>
      <c r="D7" s="2" t="s">
        <v>382</v>
      </c>
      <c r="E7" s="2" t="s">
        <v>390</v>
      </c>
    </row>
    <row r="8" spans="1:6" s="3" customFormat="1" ht="43.5" customHeight="1" x14ac:dyDescent="0.35">
      <c r="A8" s="2" t="s">
        <v>185</v>
      </c>
      <c r="B8" s="2" t="s">
        <v>391</v>
      </c>
      <c r="C8" s="2" t="s">
        <v>381</v>
      </c>
      <c r="D8" s="2" t="s">
        <v>382</v>
      </c>
      <c r="E8" s="2" t="s">
        <v>392</v>
      </c>
    </row>
    <row r="9" spans="1:6" s="3" customFormat="1" ht="43.5" customHeight="1" x14ac:dyDescent="0.35">
      <c r="A9" s="2" t="s">
        <v>317</v>
      </c>
      <c r="B9" s="2" t="s">
        <v>393</v>
      </c>
      <c r="C9" s="2" t="s">
        <v>394</v>
      </c>
      <c r="D9" s="2" t="s">
        <v>382</v>
      </c>
      <c r="E9" s="2" t="s">
        <v>395</v>
      </c>
    </row>
    <row r="10" spans="1:6" s="3" customFormat="1" ht="29" customHeight="1" x14ac:dyDescent="0.35">
      <c r="A10" s="4" t="s">
        <v>206</v>
      </c>
      <c r="B10" s="4" t="s">
        <v>396</v>
      </c>
      <c r="C10" s="4" t="s">
        <v>387</v>
      </c>
      <c r="D10" s="4" t="s">
        <v>397</v>
      </c>
      <c r="E10" s="4" t="s">
        <v>398</v>
      </c>
      <c r="F10" s="5"/>
    </row>
    <row r="11" spans="1:6" s="3" customFormat="1" ht="29" customHeight="1" x14ac:dyDescent="0.35">
      <c r="A11" s="4" t="s">
        <v>225</v>
      </c>
      <c r="B11" s="4" t="s">
        <v>399</v>
      </c>
      <c r="C11" s="4" t="s">
        <v>381</v>
      </c>
      <c r="D11" s="4" t="s">
        <v>397</v>
      </c>
      <c r="E11" s="4" t="s">
        <v>400</v>
      </c>
      <c r="F11" s="5"/>
    </row>
    <row r="12" spans="1:6" s="3" customFormat="1" ht="36" customHeight="1" x14ac:dyDescent="0.35">
      <c r="A12" s="4" t="s">
        <v>247</v>
      </c>
      <c r="B12" s="4" t="s">
        <v>401</v>
      </c>
      <c r="C12" s="4" t="s">
        <v>387</v>
      </c>
      <c r="D12" s="4" t="s">
        <v>397</v>
      </c>
      <c r="E12" s="4" t="s">
        <v>402</v>
      </c>
      <c r="F12" s="5"/>
    </row>
    <row r="14" spans="1:6" s="3" customFormat="1" ht="36" customHeight="1" x14ac:dyDescent="0.35">
      <c r="A14" s="27" t="s">
        <v>403</v>
      </c>
      <c r="B14" s="34" t="s">
        <v>404</v>
      </c>
      <c r="C14" s="35"/>
      <c r="D14" s="35"/>
      <c r="E14" s="36"/>
    </row>
    <row r="15" spans="1:6" s="3" customFormat="1" ht="36" customHeight="1" x14ac:dyDescent="0.35">
      <c r="B15" s="37"/>
      <c r="C15" s="38"/>
      <c r="D15" s="38"/>
      <c r="E15" s="39"/>
    </row>
  </sheetData>
  <mergeCells count="2">
    <mergeCell ref="B14:E15"/>
    <mergeCell ref="A1:F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储能策略与设备库</vt:lpstr>
      <vt:lpstr>EMS控制包库</vt:lpstr>
      <vt:lpstr>字段说明与价格推导</vt:lpstr>
      <vt:lpstr>手册依据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CQU</dc:creator>
  <cp:lastModifiedBy>铭 陈</cp:lastModifiedBy>
  <dcterms:created xsi:type="dcterms:W3CDTF">2026-04-02T03:51:29Z</dcterms:created>
  <dcterms:modified xsi:type="dcterms:W3CDTF">2026-04-02T03:52:23Z</dcterms:modified>
</cp:coreProperties>
</file>